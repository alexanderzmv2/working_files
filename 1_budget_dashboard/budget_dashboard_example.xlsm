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aveExternalLinkValues="0" codeName="ЭтаКнига" autoCompressPictures="0"/>
  <mc:AlternateContent xmlns:mc="http://schemas.openxmlformats.org/markup-compatibility/2006">
    <mc:Choice Requires="x15">
      <x15ac:absPath xmlns:x15ac="http://schemas.microsoft.com/office/spreadsheetml/2010/11/ac" url="C:\Users\ВТБ\Documents\GitHub\working_files\1_budget_dashboard\"/>
    </mc:Choice>
  </mc:AlternateContent>
  <bookViews>
    <workbookView xWindow="-15" yWindow="1785" windowWidth="13590" windowHeight="4065" tabRatio="623"/>
  </bookViews>
  <sheets>
    <sheet name="TabV" sheetId="14" r:id="rId1"/>
    <sheet name="TabD" sheetId="13" r:id="rId2"/>
    <sheet name="SysV" sheetId="9" r:id="rId3"/>
    <sheet name="SysA" sheetId="2" r:id="rId4"/>
  </sheets>
  <functionGroups builtInGroupCount="18"/>
  <definedNames>
    <definedName name="CalcEnable">-4105</definedName>
    <definedName name="DBType">0</definedName>
    <definedName name="ExternalData_1" localSheetId="1" hidden="1">TabD!$A$1:$AC$2</definedName>
    <definedName name="RibbonPtr">176631224</definedName>
    <definedName name="Детализация">SysA!$Q$4:$Q$12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9" l="1"/>
  <c r="E30" i="9"/>
  <c r="E31" i="9"/>
  <c r="E32" i="9"/>
  <c r="E33" i="9"/>
  <c r="E28" i="9"/>
  <c r="B30" i="9"/>
  <c r="B31" i="9"/>
  <c r="B40" i="9"/>
  <c r="B41" i="9"/>
  <c r="B45" i="9"/>
  <c r="C4" i="9" l="1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B4" i="9"/>
  <c r="D28" i="9" l="1"/>
  <c r="D31" i="9"/>
  <c r="D32" i="9"/>
  <c r="D33" i="9"/>
</calcChain>
</file>

<file path=xl/connections.xml><?xml version="1.0" encoding="utf-8"?>
<connections xmlns="http://schemas.openxmlformats.org/spreadsheetml/2006/main">
  <connection id="1" name="Подключение1" type="7" refreshedVersion="6" background="1" saveData="1"/>
</connections>
</file>

<file path=xl/sharedStrings.xml><?xml version="1.0" encoding="utf-8"?>
<sst xmlns="http://schemas.openxmlformats.org/spreadsheetml/2006/main" count="336" uniqueCount="194">
  <si>
    <t>Финансовая позиция</t>
  </si>
  <si>
    <t>0,170,255</t>
  </si>
  <si>
    <t>0,40,130</t>
  </si>
  <si>
    <t>241,204,86</t>
  </si>
  <si>
    <t>197,199,200</t>
  </si>
  <si>
    <t>204,212,230</t>
  </si>
  <si>
    <t>серый 15%</t>
  </si>
  <si>
    <t>Доступные данные для фильтров из Access</t>
  </si>
  <si>
    <t>АУР/КВ</t>
  </si>
  <si>
    <t>Группа затрат</t>
  </si>
  <si>
    <t>MIR-код</t>
  </si>
  <si>
    <t>ПФМ</t>
  </si>
  <si>
    <t>Программа бюджета</t>
  </si>
  <si>
    <t>Основные показатели</t>
  </si>
  <si>
    <t>Примененные фильтры</t>
  </si>
  <si>
    <t>Фильтр</t>
  </si>
  <si>
    <t>Значение</t>
  </si>
  <si>
    <t>Итого</t>
  </si>
  <si>
    <t>Май</t>
  </si>
  <si>
    <t>Источник</t>
  </si>
  <si>
    <t>Системные параметры:</t>
  </si>
  <si>
    <t>Цвет1:</t>
  </si>
  <si>
    <t>Параметры</t>
  </si>
  <si>
    <t>Цвет2:</t>
  </si>
  <si>
    <t>Цвет3:</t>
  </si>
  <si>
    <t>Цвет4:</t>
  </si>
  <si>
    <t>Цвет5:</t>
  </si>
  <si>
    <t>Цвет6:</t>
  </si>
  <si>
    <t>Источник_код</t>
  </si>
  <si>
    <t>Источник_цвет</t>
  </si>
  <si>
    <t>Источник_шрифт_цвет</t>
  </si>
  <si>
    <t>Управление</t>
  </si>
  <si>
    <t>Подгруппа затрат</t>
  </si>
  <si>
    <t>ГО/Филиалы</t>
  </si>
  <si>
    <t>Филиал</t>
  </si>
  <si>
    <t>Регион</t>
  </si>
  <si>
    <t>Направление затрат</t>
  </si>
  <si>
    <t>Номер справочника</t>
  </si>
  <si>
    <t>Наименование справочника</t>
  </si>
  <si>
    <t>детализация</t>
  </si>
  <si>
    <t>Факт 19</t>
  </si>
  <si>
    <t>Факт 18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</si>
  <si>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</si>
  <si>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</si>
  <si>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</si>
  <si>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</si>
  <si>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</si>
  <si>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</si>
  <si>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</si>
  <si>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</si>
  <si>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</si>
  <si>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</si>
  <si>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</si>
  <si>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</si>
  <si>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Угол</t>
  </si>
  <si>
    <t>итого при нуле</t>
  </si>
  <si>
    <t>итого при минусе</t>
  </si>
  <si>
    <t>итого при плюсе</t>
  </si>
  <si>
    <t>мин град для минуса</t>
  </si>
  <si>
    <t>макс град для плюса</t>
  </si>
  <si>
    <t>количество градусов, максимально от 0</t>
  </si>
  <si>
    <t>сдвиг в град от 0</t>
  </si>
  <si>
    <t>мин знач</t>
  </si>
  <si>
    <t>макс знач</t>
  </si>
  <si>
    <t>Пусто</t>
  </si>
  <si>
    <t>Расчет угла</t>
  </si>
  <si>
    <t>значение</t>
  </si>
  <si>
    <t>остаток</t>
  </si>
  <si>
    <t>деление</t>
  </si>
  <si>
    <t>целая диаграмма</t>
  </si>
  <si>
    <t>Заливка областей</t>
  </si>
  <si>
    <t>Стрелка на диаграмме</t>
  </si>
  <si>
    <t>Для диаграммы 1</t>
  </si>
  <si>
    <t>Для диаграммы 2</t>
  </si>
  <si>
    <t>Детализация</t>
  </si>
  <si>
    <t>4</t>
  </si>
  <si>
    <t>3</t>
  </si>
  <si>
    <t>S1</t>
  </si>
  <si>
    <t>S2</t>
  </si>
  <si>
    <t>S3</t>
  </si>
  <si>
    <t>S4</t>
  </si>
  <si>
    <t>1</t>
  </si>
  <si>
    <t>2</t>
  </si>
  <si>
    <t>Для KPI</t>
  </si>
  <si>
    <t>Наименование показателя</t>
  </si>
  <si>
    <t>Год выбранный</t>
  </si>
  <si>
    <t>Значение тек.</t>
  </si>
  <si>
    <t>Значение сравн.</t>
  </si>
  <si>
    <t>Отклонение абс</t>
  </si>
  <si>
    <t>Отклонение %</t>
  </si>
  <si>
    <t>Квартал выбранный</t>
  </si>
  <si>
    <t>Тип сети</t>
  </si>
  <si>
    <t>детализирующий показатель</t>
  </si>
  <si>
    <t>Источник_кратко</t>
  </si>
  <si>
    <t>Ф19</t>
  </si>
  <si>
    <t>Ф18</t>
  </si>
  <si>
    <t>S5</t>
  </si>
  <si>
    <t>S6</t>
  </si>
  <si>
    <t>16777215</t>
  </si>
  <si>
    <t>8529920</t>
  </si>
  <si>
    <t>детализация по показателю</t>
  </si>
  <si>
    <t>Доступ</t>
  </si>
  <si>
    <t>Код</t>
  </si>
  <si>
    <t>Таблица_Отношение</t>
  </si>
  <si>
    <t>Таблица_Порядок</t>
  </si>
  <si>
    <t>Детализирующий показатель</t>
  </si>
  <si>
    <t>16755200</t>
  </si>
  <si>
    <t>13158341</t>
  </si>
  <si>
    <t>Источник_в_Таблицу</t>
  </si>
  <si>
    <t>D1</t>
  </si>
  <si>
    <t>FP</t>
  </si>
  <si>
    <t>D2</t>
  </si>
  <si>
    <t>MIR</t>
  </si>
  <si>
    <t>D3</t>
  </si>
  <si>
    <t>PFM</t>
  </si>
  <si>
    <t>D4</t>
  </si>
  <si>
    <t>PROJ</t>
  </si>
  <si>
    <t>Наименование ФП</t>
  </si>
  <si>
    <t>Наименование ПФМ</t>
  </si>
  <si>
    <t>Наименование MIR-кода</t>
  </si>
  <si>
    <t>Программа бюджета (код)</t>
  </si>
  <si>
    <t>Наименование среза</t>
  </si>
  <si>
    <t>Янв</t>
  </si>
  <si>
    <t>Фев</t>
  </si>
  <si>
    <t>Мар</t>
  </si>
  <si>
    <t>Апр</t>
  </si>
  <si>
    <t>Июн</t>
  </si>
  <si>
    <t>Июл</t>
  </si>
  <si>
    <t>Авг</t>
  </si>
  <si>
    <t>Сен</t>
  </si>
  <si>
    <t>Окт</t>
  </si>
  <si>
    <t>Ноя</t>
  </si>
  <si>
    <t>Дек</t>
  </si>
  <si>
    <t>ID пользователя</t>
  </si>
  <si>
    <t>Факт 20</t>
  </si>
  <si>
    <t>Ф20</t>
  </si>
  <si>
    <t>5688561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</si>
  <si>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</si>
  <si>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</si>
  <si>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</si>
  <si>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</si>
  <si>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</si>
  <si>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</si>
  <si>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</si>
  <si>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</si>
  <si>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</si>
  <si>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</si>
  <si>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</si>
  <si>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</si>
  <si>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Названия источников</t>
  </si>
  <si>
    <t>S7</t>
  </si>
  <si>
    <t>сортировка</t>
  </si>
  <si>
    <t>Динамика</t>
  </si>
  <si>
    <t>1КВ</t>
  </si>
  <si>
    <t>2КВ</t>
  </si>
  <si>
    <t>3КВ</t>
  </si>
  <si>
    <t>4КВ</t>
  </si>
  <si>
    <t>Формат чисел</t>
  </si>
  <si>
    <t># ##0.00;-# ##0.00;</t>
  </si>
  <si>
    <t>млн.руб.</t>
  </si>
  <si>
    <t>Для водопада</t>
  </si>
  <si>
    <t>Data label position</t>
  </si>
  <si>
    <t>After</t>
  </si>
  <si>
    <t>Before</t>
  </si>
  <si>
    <t>Start &amp; End</t>
  </si>
  <si>
    <t>Cumulative</t>
  </si>
  <si>
    <t>Values</t>
  </si>
  <si>
    <t>For Delta bars</t>
  </si>
  <si>
    <t>For connectors</t>
  </si>
  <si>
    <t>Отклонение, %</t>
  </si>
  <si>
    <t>ПоказательВодопад</t>
  </si>
  <si>
    <t>номер строки детализации</t>
  </si>
  <si>
    <t>содержание детализации</t>
  </si>
  <si>
    <t>-16777216</t>
  </si>
  <si>
    <t>PointsLabels</t>
  </si>
  <si>
    <t>DiffLabels</t>
  </si>
  <si>
    <t>1Кв</t>
  </si>
  <si>
    <t>2Кв</t>
  </si>
  <si>
    <t>3Кв</t>
  </si>
  <si>
    <t>'Текущая деятельность'</t>
  </si>
  <si>
    <t>.</t>
  </si>
  <si>
    <t/>
  </si>
  <si>
    <t>4Кв</t>
  </si>
  <si>
    <t>Бюджет 21</t>
  </si>
  <si>
    <t>Б21</t>
  </si>
  <si>
    <t>Факт 21</t>
  </si>
  <si>
    <t>Ф21</t>
  </si>
  <si>
    <t>Прогноз 21</t>
  </si>
  <si>
    <t>П21</t>
  </si>
  <si>
    <t>Бюджет 21 (нач)</t>
  </si>
  <si>
    <t>Б21нач</t>
  </si>
  <si>
    <t>Бюджет 22 (нач)</t>
  </si>
  <si>
    <t>S9</t>
  </si>
  <si>
    <t>Б22нач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</si>
</sst>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\ _₽_-;\-* #,##0.00\ _₽_-;_-* &quot;-&quot;??\ _₽_-;_-@_-"/>
    <numFmt numFmtId="164" formatCode="_-* #,##0\ _₽_-;\-* #,##0\ _₽_-;_-* &quot;-&quot;??\ _₽_-;_-@_-"/>
    <numFmt numFmtId="165" formatCode="0.0"/>
    <numFmt numFmtId="166" formatCode="0.0%"/>
    <numFmt numFmtId="167" formatCode="#,##0;\-#,##0;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AAFF"/>
        <bgColor indexed="64"/>
      </patternFill>
    </fill>
    <fill>
      <patternFill patternType="solid">
        <fgColor rgb="FF002882"/>
        <bgColor indexed="64"/>
      </patternFill>
    </fill>
    <fill>
      <patternFill patternType="solid">
        <fgColor rgb="FFF1CC56"/>
        <bgColor indexed="64"/>
      </patternFill>
    </fill>
    <fill>
      <patternFill patternType="solid">
        <fgColor rgb="FFC5C7C8"/>
        <bgColor indexed="64"/>
      </patternFill>
    </fill>
    <fill>
      <patternFill patternType="solid">
        <fgColor rgb="FFCCD4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ADE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medium">
        <color rgb="FF002882"/>
      </bottom>
      <diagonal/>
    </border>
    <border>
      <left style="thin">
        <color rgb="FF515151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rgb="FF8C8C8C"/>
      </left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0"/>
  </cellStyleXfs>
  <cellXfs count="86">
    <xf numFmtId="0" fontId="0" fillId="0" borderId="0" xfId="0"/>
    <xf numFmtId="0" fontId="0" fillId="0" borderId="0" xfId="0" applyNumberFormat="1" applyFont="1" applyBorder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5" fillId="0" borderId="0" xfId="2" applyNumberFormat="1" applyFont="1" applyBorder="1" applyAlignment="1">
      <alignment horizontal="left" vertical="center"/>
    </xf>
    <xf numFmtId="0" fontId="0" fillId="0" borderId="2" xfId="0" applyBorder="1"/>
    <xf numFmtId="0" fontId="0" fillId="7" borderId="0" xfId="0" applyFill="1"/>
    <xf numFmtId="0" fontId="2" fillId="0" borderId="3" xfId="0" applyFont="1" applyBorder="1"/>
    <xf numFmtId="0" fontId="0" fillId="0" borderId="3" xfId="0" applyBorder="1"/>
    <xf numFmtId="0" fontId="0" fillId="0" borderId="0" xfId="0" applyFill="1"/>
    <xf numFmtId="49" fontId="0" fillId="0" borderId="0" xfId="0" applyNumberFormat="1" applyFill="1"/>
    <xf numFmtId="49" fontId="5" fillId="2" borderId="0" xfId="1" applyNumberFormat="1" applyFont="1" applyFill="1" applyBorder="1" applyAlignment="1">
      <alignment horizontal="left" vertical="center"/>
    </xf>
    <xf numFmtId="49" fontId="3" fillId="3" borderId="0" xfId="1" applyNumberFormat="1" applyFont="1" applyFill="1" applyBorder="1" applyAlignment="1">
      <alignment horizontal="left" vertical="center"/>
    </xf>
    <xf numFmtId="49" fontId="5" fillId="4" borderId="0" xfId="1" applyNumberFormat="1" applyFont="1" applyFill="1" applyBorder="1" applyAlignment="1">
      <alignment horizontal="left" vertical="center"/>
    </xf>
    <xf numFmtId="49" fontId="5" fillId="5" borderId="0" xfId="1" applyNumberFormat="1" applyFont="1" applyFill="1" applyBorder="1" applyAlignment="1">
      <alignment horizontal="left" vertical="center"/>
    </xf>
    <xf numFmtId="49" fontId="5" fillId="7" borderId="0" xfId="2" applyNumberFormat="1" applyFont="1" applyFill="1" applyBorder="1" applyAlignment="1">
      <alignment horizontal="left" vertical="center"/>
    </xf>
    <xf numFmtId="49" fontId="6" fillId="6" borderId="0" xfId="1" applyNumberFormat="1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1" fillId="9" borderId="0" xfId="0" applyFont="1" applyFill="1" applyAlignment="1"/>
    <xf numFmtId="3" fontId="7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wrapText="1"/>
    </xf>
    <xf numFmtId="0" fontId="0" fillId="8" borderId="0" xfId="0" applyFill="1"/>
    <xf numFmtId="164" fontId="0" fillId="0" borderId="4" xfId="1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0" xfId="0" applyFont="1" applyFill="1" applyAlignment="1">
      <alignment horizontal="left"/>
    </xf>
    <xf numFmtId="3" fontId="1" fillId="0" borderId="0" xfId="0" applyNumberFormat="1" applyFont="1" applyFill="1" applyAlignment="1"/>
    <xf numFmtId="0" fontId="8" fillId="0" borderId="0" xfId="0" applyFont="1" applyFill="1" applyAlignment="1">
      <alignment horizontal="center" vertical="center"/>
    </xf>
    <xf numFmtId="9" fontId="0" fillId="0" borderId="0" xfId="0" applyNumberFormat="1"/>
    <xf numFmtId="0" fontId="9" fillId="8" borderId="0" xfId="0" applyFont="1" applyFill="1"/>
    <xf numFmtId="0" fontId="9" fillId="11" borderId="0" xfId="0" applyFont="1" applyFill="1"/>
    <xf numFmtId="0" fontId="4" fillId="0" borderId="0" xfId="0" applyFont="1"/>
    <xf numFmtId="0" fontId="0" fillId="0" borderId="0" xfId="0" applyAlignment="1"/>
    <xf numFmtId="165" fontId="4" fillId="0" borderId="0" xfId="0" applyNumberFormat="1" applyFont="1" applyFill="1"/>
    <xf numFmtId="0" fontId="4" fillId="0" borderId="0" xfId="0" applyFont="1" applyFill="1"/>
    <xf numFmtId="0" fontId="0" fillId="0" borderId="1" xfId="0" applyBorder="1"/>
    <xf numFmtId="0" fontId="2" fillId="12" borderId="0" xfId="0" applyFont="1" applyFill="1"/>
    <xf numFmtId="0" fontId="2" fillId="0" borderId="0" xfId="0" applyFont="1" applyFill="1"/>
    <xf numFmtId="49" fontId="0" fillId="0" borderId="0" xfId="0" applyNumberFormat="1"/>
    <xf numFmtId="0" fontId="2" fillId="0" borderId="4" xfId="0" applyFont="1" applyBorder="1"/>
    <xf numFmtId="0" fontId="0" fillId="0" borderId="4" xfId="0" applyBorder="1"/>
    <xf numFmtId="164" fontId="0" fillId="0" borderId="4" xfId="0" applyNumberFormat="1" applyBorder="1" applyAlignment="1">
      <alignment horizontal="center" vertical="center"/>
    </xf>
    <xf numFmtId="0" fontId="0" fillId="11" borderId="4" xfId="0" applyFill="1" applyBorder="1"/>
    <xf numFmtId="0" fontId="2" fillId="13" borderId="4" xfId="0" applyFont="1" applyFill="1" applyBorder="1" applyAlignment="1">
      <alignment horizontal="center" vertical="center"/>
    </xf>
    <xf numFmtId="164" fontId="0" fillId="13" borderId="4" xfId="1" applyNumberFormat="1" applyFont="1" applyFill="1" applyBorder="1" applyAlignment="1">
      <alignment horizontal="center" vertical="center"/>
    </xf>
    <xf numFmtId="166" fontId="0" fillId="13" borderId="4" xfId="2" applyNumberFormat="1" applyFont="1" applyFill="1" applyBorder="1" applyAlignment="1">
      <alignment horizontal="center" vertical="center"/>
    </xf>
    <xf numFmtId="0" fontId="0" fillId="11" borderId="0" xfId="0" applyFill="1"/>
    <xf numFmtId="2" fontId="9" fillId="11" borderId="0" xfId="0" applyNumberFormat="1" applyFont="1" applyFill="1"/>
    <xf numFmtId="2" fontId="9" fillId="8" borderId="0" xfId="0" applyNumberFormat="1" applyFont="1" applyFill="1"/>
    <xf numFmtId="3" fontId="0" fillId="0" borderId="0" xfId="0" applyNumberFormat="1" applyFill="1"/>
    <xf numFmtId="49" fontId="0" fillId="10" borderId="0" xfId="0" applyNumberFormat="1" applyFill="1"/>
    <xf numFmtId="49" fontId="0" fillId="10" borderId="0" xfId="0" quotePrefix="1" applyNumberFormat="1" applyFill="1"/>
    <xf numFmtId="0" fontId="0" fillId="10" borderId="0" xfId="0" applyFill="1"/>
    <xf numFmtId="0" fontId="2" fillId="8" borderId="3" xfId="0" applyFont="1" applyFill="1" applyBorder="1"/>
    <xf numFmtId="0" fontId="2" fillId="8" borderId="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2" fillId="0" borderId="3" xfId="0" applyFont="1" applyFill="1" applyBorder="1"/>
    <xf numFmtId="0" fontId="2" fillId="0" borderId="3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5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64" fontId="0" fillId="0" borderId="5" xfId="1" applyNumberFormat="1" applyFont="1" applyBorder="1" applyAlignment="1">
      <alignment horizontal="center" vertical="center"/>
    </xf>
    <xf numFmtId="0" fontId="0" fillId="0" borderId="5" xfId="0" applyFill="1" applyBorder="1"/>
    <xf numFmtId="0" fontId="2" fillId="14" borderId="3" xfId="0" applyFont="1" applyFill="1" applyBorder="1"/>
    <xf numFmtId="0" fontId="0" fillId="14" borderId="0" xfId="0" applyFill="1"/>
    <xf numFmtId="22" fontId="0" fillId="0" borderId="0" xfId="0" applyNumberFormat="1"/>
    <xf numFmtId="0" fontId="5" fillId="0" borderId="0" xfId="2" applyNumberFormat="1" applyFont="1" applyFill="1" applyBorder="1" applyAlignment="1">
      <alignment horizontal="left" vertical="center"/>
    </xf>
    <xf numFmtId="0" fontId="11" fillId="16" borderId="8" xfId="0" applyFont="1" applyFill="1" applyBorder="1" applyAlignment="1">
      <alignment horizontal="right" wrapText="1"/>
    </xf>
    <xf numFmtId="0" fontId="11" fillId="15" borderId="8" xfId="0" applyFont="1" applyFill="1" applyBorder="1" applyAlignment="1">
      <alignment horizontal="right"/>
    </xf>
    <xf numFmtId="0" fontId="0" fillId="16" borderId="9" xfId="0" applyFill="1" applyBorder="1" applyAlignment="1">
      <alignment horizontal="center"/>
    </xf>
    <xf numFmtId="3" fontId="1" fillId="8" borderId="0" xfId="0" applyNumberFormat="1" applyFont="1" applyFill="1" applyAlignment="1"/>
    <xf numFmtId="167" fontId="0" fillId="0" borderId="0" xfId="0" applyNumberFormat="1"/>
    <xf numFmtId="0" fontId="2" fillId="8" borderId="0" xfId="0" applyFont="1" applyFill="1" applyBorder="1" applyAlignment="1">
      <alignment horizontal="left" vertical="center"/>
    </xf>
    <xf numFmtId="0" fontId="2" fillId="11" borderId="0" xfId="0" applyFont="1" applyFill="1" applyBorder="1" applyAlignment="1">
      <alignment horizontal="left" vertical="center"/>
    </xf>
    <xf numFmtId="43" fontId="0" fillId="0" borderId="0" xfId="1" applyFont="1" applyFill="1"/>
    <xf numFmtId="43" fontId="0" fillId="0" borderId="0" xfId="1" applyFont="1"/>
    <xf numFmtId="0" fontId="0" fillId="17" borderId="0" xfId="0" applyFill="1"/>
    <xf numFmtId="0" fontId="0" fillId="3" borderId="0" xfId="0" applyFill="1"/>
    <xf numFmtId="0" fontId="0" fillId="0" borderId="6" xfId="0" applyBorder="1"/>
    <xf numFmtId="0" fontId="3" fillId="18" borderId="0" xfId="0" applyFont="1" applyFill="1" applyAlignment="1">
      <alignment horizontal="center" vertical="center"/>
    </xf>
    <xf numFmtId="0" fontId="10" fillId="18" borderId="0" xfId="0" applyFont="1" applyFill="1" applyAlignment="1">
      <alignment horizontal="right" vertical="center"/>
    </xf>
    <xf numFmtId="0" fontId="3" fillId="18" borderId="7" xfId="0" applyFont="1" applyFill="1" applyBorder="1" applyAlignment="1">
      <alignment horizontal="center" vertical="center"/>
    </xf>
    <xf numFmtId="0" fontId="0" fillId="0" borderId="7" xfId="0" applyBorder="1"/>
    <xf numFmtId="0" fontId="3" fillId="18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/>
    </xf>
    <xf numFmtId="0" fontId="0" fillId="16" borderId="9" xfId="0" applyFill="1" applyBorder="1" applyAlignment="1">
      <alignment horizontal="center"/>
    </xf>
  </cellXfs>
  <cellStyles count="4">
    <cellStyle name="Обычный" xfId="0" builtinId="0"/>
    <cellStyle name="Обычный 2" xfId="3"/>
    <cellStyle name="Процентный" xfId="2" builtinId="5"/>
    <cellStyle name="Финансовый" xfId="1" builtinId="3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4506668294322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4" tint="-0.249977111117893"/>
      </font>
    </dxf>
    <dxf>
      <font>
        <b/>
        <color theme="4" tint="-0.249977111117893"/>
      </font>
    </dxf>
    <dxf>
      <font>
        <b/>
        <color theme="4" tint="-0.249977111117893"/>
      </font>
      <border>
        <top style="thin">
          <color theme="4"/>
        </top>
      </border>
    </dxf>
    <dxf>
      <font>
        <b/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>
        <top style="thin">
          <color theme="4"/>
        </top>
        <bottom style="thin">
          <color theme="4"/>
        </bottom>
      </border>
    </dxf>
  </dxfs>
  <tableStyles count="2" defaultTableStyle="TableStyleMedium2" defaultPivotStyle="PivotStyleLight16">
    <tableStyle name="DH_Style_TabV" pivot="0" count="7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  <tableStyle name="TableStyleMedium2 2" pivot="0" count="7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</tableStyle>
  </tableStyles>
  <colors>
    <mruColors>
      <color rgb="FF002882"/>
      <color rgb="FF000000"/>
      <color rgb="FFF8F8F8"/>
      <color rgb="FFF6F6F6"/>
      <color rgb="FFF5F5F5"/>
      <color rgb="FFF7F7F7"/>
      <color rgb="FF9D9D9D"/>
      <color rgb="FF9F9F9F"/>
      <color rgb="FF00B0F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2588935998384818"/>
          <c:w val="1"/>
          <c:h val="0.6600787401574803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SysV!$S$5</c:f>
              <c:strCache>
                <c:ptCount val="1"/>
                <c:pt idx="0">
                  <c:v>Факт 21</c:v>
                </c:pt>
              </c:strCache>
            </c:strRef>
          </c:tx>
          <c:spPr>
            <a:solidFill>
              <a:srgbClr val="00AAFF"/>
            </a:solidFill>
            <a:ln w="9525" cap="sq">
              <a:noFill/>
              <a:miter lim="800000"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l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SysV!$N$3:$Q$3</c:f>
              <c:strCache>
                <c:ptCount val="4"/>
                <c:pt idx="0">
                  <c:v>1КВ</c:v>
                </c:pt>
                <c:pt idx="1">
                  <c:v>2КВ</c:v>
                </c:pt>
                <c:pt idx="2">
                  <c:v>3КВ</c:v>
                </c:pt>
                <c:pt idx="3">
                  <c:v>4КВ</c:v>
                </c:pt>
              </c:strCache>
            </c:strRef>
          </c:cat>
          <c:val>
            <c:numRef>
              <c:f>SysV!$N$5:$Q$5</c:f>
              <c:numCache>
                <c:formatCode>_-* #\ ##0\ _₽_-;\-* #\ ##0\ _₽_-;_-* "-"??\ _₽_-;_-@_-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3E8-4597-9B78-47D59C025861}"/>
            </c:ext>
          </c:extLst>
        </c:ser>
        <c:ser>
          <c:idx val="2"/>
          <c:order val="2"/>
          <c:tx>
            <c:strRef>
              <c:f>SysV!$S$6</c:f>
              <c:strCache>
                <c:ptCount val="1"/>
                <c:pt idx="0">
                  <c:v>Бюджет 21</c:v>
                </c:pt>
              </c:strCache>
            </c:strRef>
          </c:tx>
          <c:spPr>
            <a:solidFill>
              <a:srgbClr val="002882"/>
            </a:solidFill>
            <a:ln>
              <a:noFill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SysV!$N$3:$Q$3</c:f>
              <c:strCache>
                <c:ptCount val="4"/>
                <c:pt idx="0">
                  <c:v>1КВ</c:v>
                </c:pt>
                <c:pt idx="1">
                  <c:v>2КВ</c:v>
                </c:pt>
                <c:pt idx="2">
                  <c:v>3КВ</c:v>
                </c:pt>
                <c:pt idx="3">
                  <c:v>4КВ</c:v>
                </c:pt>
              </c:strCache>
            </c:strRef>
          </c:cat>
          <c:val>
            <c:numRef>
              <c:f>SysV!$N$6:$Q$6</c:f>
              <c:numCache>
                <c:formatCode>_-* #\ ##0\ _₽_-;\-* #\ ##0\ _₽_-;_-* "-"??\ _₽_-;_-@_-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3E8-4597-9B78-47D59C025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70219648"/>
        <c:axId val="70221184"/>
      </c:barChart>
      <c:lineChart>
        <c:grouping val="standard"/>
        <c:varyColors val="0"/>
        <c:ser>
          <c:idx val="0"/>
          <c:order val="0"/>
          <c:tx>
            <c:strRef>
              <c:f>SysV!$A$4</c:f>
              <c:strCache>
                <c:ptCount val="1"/>
                <c:pt idx="0">
                  <c:v>Отклонение, %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SysV!$N$2:$Q$2</c:f>
              <c:strCache>
                <c:ptCount val="4"/>
                <c:pt idx="0">
                  <c:v>1КВ</c:v>
                </c:pt>
                <c:pt idx="1">
                  <c:v>2КВ</c:v>
                </c:pt>
                <c:pt idx="2">
                  <c:v>3КВ</c:v>
                </c:pt>
                <c:pt idx="3">
                  <c:v>4КВ</c:v>
                </c:pt>
              </c:strCache>
            </c:strRef>
          </c:cat>
          <c:val>
            <c:numRef>
              <c:f>SysV!$N$4:$Q$4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3E8-4597-9B78-47D59C025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896"/>
        <c:axId val="70239360"/>
      </c:lineChart>
      <c:catAx>
        <c:axId val="702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21184"/>
        <c:crosses val="autoZero"/>
        <c:auto val="1"/>
        <c:lblAlgn val="ctr"/>
        <c:lblOffset val="0"/>
        <c:tickMarkSkip val="1"/>
        <c:noMultiLvlLbl val="0"/>
      </c:catAx>
      <c:valAx>
        <c:axId val="70221184"/>
        <c:scaling>
          <c:orientation val="minMax"/>
        </c:scaling>
        <c:delete val="0"/>
        <c:axPos val="l"/>
        <c:numFmt formatCode="_-* #\ ##0\ _₽_-;\-* #\ ##0\ _₽_-;_-* &quot;-&quot;??\ _₽_-;_-@_-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19648"/>
        <c:crosses val="autoZero"/>
        <c:crossBetween val="between"/>
      </c:valAx>
      <c:valAx>
        <c:axId val="702393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40896"/>
        <c:crosses val="max"/>
        <c:crossBetween val="between"/>
      </c:valAx>
      <c:catAx>
        <c:axId val="70240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23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83459893382964"/>
          <c:y val="1.1757184198129073E-2"/>
          <c:w val="0.72822641762009543"/>
          <c:h val="0.13033111245709669"/>
        </c:manualLayout>
      </c:layout>
      <c:overlay val="0"/>
      <c:txPr>
        <a:bodyPr/>
        <a:lstStyle/>
        <a:p>
          <a:pPr>
            <a:defRPr sz="900"/>
          </a:pPr>
          <a:endParaRPr lang="ru-RU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44816053511705E-3"/>
          <c:y val="0.1534153093876964"/>
          <c:w val="0.99665554723358785"/>
          <c:h val="0.7247425702004348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SysV!$S$5</c:f>
              <c:strCache>
                <c:ptCount val="1"/>
                <c:pt idx="0">
                  <c:v>Факт 21</c:v>
                </c:pt>
              </c:strCache>
            </c:strRef>
          </c:tx>
          <c:spPr>
            <a:solidFill>
              <a:srgbClr val="00AAFF"/>
            </a:solidFill>
            <a:ln w="9525" cap="sq">
              <a:noFill/>
              <a:miter lim="800000"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SysV!$B$2:$M$2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SysV!$B$5:$M$5</c:f>
              <c:numCache>
                <c:formatCode>_-* #\ ##0\ _₽_-;\-* #\ ##0\ _₽_-;_-* "-"??\ _₽_-;_-@_-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DB3-45A6-9789-4EC59CDAAD9F}"/>
            </c:ext>
          </c:extLst>
        </c:ser>
        <c:ser>
          <c:idx val="2"/>
          <c:order val="2"/>
          <c:tx>
            <c:strRef>
              <c:f>SysV!$S$6</c:f>
              <c:strCache>
                <c:ptCount val="1"/>
                <c:pt idx="0">
                  <c:v>Бюджет 21</c:v>
                </c:pt>
              </c:strCache>
            </c:strRef>
          </c:tx>
          <c:spPr>
            <a:solidFill>
              <a:srgbClr val="002882"/>
            </a:solidFill>
            <a:ln>
              <a:noFill/>
            </a:ln>
            <a:effectLst/>
          </c:spPr>
          <c:invertIfNegative val="0"/>
          <c:dLbls>
            <c:numFmt formatCode="#\ ###;\-#\ ##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SysV!$B$2:$M$2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SysV!$B$6:$M$6</c:f>
              <c:numCache>
                <c:formatCode>_-* #\ ##0\ _₽_-;\-* #\ ##0\ _₽_-;_-* "-"??\ _₽_-;_-@_-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9DB3-45A6-9789-4EC59CDAA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"/>
        <c:axId val="70219648"/>
        <c:axId val="70221184"/>
      </c:barChart>
      <c:lineChart>
        <c:grouping val="standard"/>
        <c:varyColors val="0"/>
        <c:ser>
          <c:idx val="0"/>
          <c:order val="0"/>
          <c:tx>
            <c:strRef>
              <c:f>SysV!$A$4</c:f>
              <c:strCache>
                <c:ptCount val="1"/>
                <c:pt idx="0">
                  <c:v>Отклонение, %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7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SysV!$B$2:$M$2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SysV!$B$4:$M$4</c:f>
              <c:numCache>
                <c:formatCode>0%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DB3-45A6-9789-4EC59CDAA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0896"/>
        <c:axId val="70239360"/>
      </c:lineChart>
      <c:catAx>
        <c:axId val="702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21184"/>
        <c:crosses val="autoZero"/>
        <c:auto val="1"/>
        <c:lblAlgn val="ctr"/>
        <c:lblOffset val="0"/>
        <c:tickMarkSkip val="3"/>
        <c:noMultiLvlLbl val="0"/>
      </c:catAx>
      <c:valAx>
        <c:axId val="70221184"/>
        <c:scaling>
          <c:orientation val="minMax"/>
        </c:scaling>
        <c:delete val="0"/>
        <c:axPos val="l"/>
        <c:numFmt formatCode="_-* #\ ##0\ _₽_-;\-* #\ ##0\ _₽_-;_-* &quot;-&quot;??\ _₽_-;_-@_-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19648"/>
        <c:crosses val="autoZero"/>
        <c:crossBetween val="between"/>
      </c:valAx>
      <c:valAx>
        <c:axId val="702393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40896"/>
        <c:crosses val="max"/>
        <c:crossBetween val="between"/>
      </c:valAx>
      <c:catAx>
        <c:axId val="70240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23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048024545283027E-3"/>
          <c:y val="0.28390598902409925"/>
          <c:w val="0.99579519264380889"/>
          <c:h val="0.705993000874890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SysV!$D$68</c:f>
              <c:strCache>
                <c:ptCount val="1"/>
                <c:pt idx="0">
                  <c:v>Start &amp; End</c:v>
                </c:pt>
              </c:strCache>
            </c:strRef>
          </c:tx>
          <c:spPr>
            <a:solidFill>
              <a:srgbClr val="002882">
                <a:alpha val="99000"/>
              </a:srgbClr>
            </a:solidFill>
            <a:ln w="9525">
              <a:solidFill>
                <a:schemeClr val="bg1">
                  <a:lumMod val="65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2882"/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68B6-4C6F-B27C-5F9C248997D8}"/>
              </c:ext>
            </c:extLst>
          </c:dPt>
          <c:dPt>
            <c:idx val="1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0-68B6-4C6F-B27C-5F9C248997D8}"/>
              </c:ext>
            </c:extLst>
          </c:dPt>
          <c:dPt>
            <c:idx val="2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3-68B6-4C6F-B27C-5F9C248997D8}"/>
              </c:ext>
            </c:extLst>
          </c:dPt>
          <c:dPt>
            <c:idx val="5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5-68B6-4C6F-B27C-5F9C248997D8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7-68B6-4C6F-B27C-5F9C248997D8}"/>
              </c:ext>
            </c:extLst>
          </c:dPt>
          <c:dPt>
            <c:idx val="7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9-68B6-4C6F-B27C-5F9C248997D8}"/>
              </c:ext>
            </c:extLst>
          </c:dPt>
          <c:dPt>
            <c:idx val="30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D-68B6-4C6F-B27C-5F9C248997D8}"/>
              </c:ext>
            </c:extLst>
          </c:dPt>
          <c:dPt>
            <c:idx val="84"/>
            <c:invertIfNegative val="0"/>
            <c:bubble3D val="0"/>
            <c:spPr>
              <a:solidFill>
                <a:srgbClr val="00AAFF">
                  <a:alpha val="99000"/>
                </a:srgb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F-68B6-4C6F-B27C-5F9C248997D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18 244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B6-4C6F-B27C-5F9C24899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ru-RU"/>
                      <a:t>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B6-4C6F-B27C-5F9C24899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1 449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8B6-4C6F-B27C-5F9C248997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-3 640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B6-4C6F-B27C-5F9C248997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B6-4C6F-B27C-5F9C248997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B6-4C6F-B27C-5F9C248997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ru-RU"/>
                      <a:t>17 267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8B6-4C6F-B27C-5F9C248997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234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B6-4C6F-B27C-5F9C248997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ru-RU"/>
                      <a:t>234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8B6-4C6F-B27C-5F9C248997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ru-RU"/>
                      <a:t>174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B6-4C6F-B27C-5F9C248997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2 609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B6-4C6F-B27C-5F9C248997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ru-RU"/>
                      <a:t>2 609</a:t>
                    </a: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B6-4C6F-B27C-5F9C248997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 b="1">
                    <a:solidFill>
                      <a:schemeClr val="bg1"/>
                    </a:solidFill>
                    <a:effectLst>
                      <a:glow rad="63500">
                        <a:schemeClr val="tx1">
                          <a:lumMod val="85000"/>
                          <a:lumOff val="15000"/>
                          <a:alpha val="45000"/>
                        </a:schemeClr>
                      </a:glow>
                      <a:outerShdw blurRad="152400" dist="38100" dir="5400000" algn="ctr" rotWithShape="0">
                        <a:srgbClr val="000000">
                          <a:alpha val="60000"/>
                        </a:srgbClr>
                      </a:outerShdw>
                    </a:effectLst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SysV!$A$69:$A$76</c:f>
              <c:numCache>
                <c:formatCode>General</c:formatCode>
                <c:ptCount val="8"/>
              </c:numCache>
            </c:numRef>
          </c:cat>
          <c:val>
            <c:numRef>
              <c:f>SysV!$D$69:$D$76</c:f>
              <c:numCache>
                <c:formatCode>#\ ##0;\-#\ ##0;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7-68B6-4C6F-B27C-5F9C2489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5"/>
        <c:axId val="1595166320"/>
        <c:axId val="1595163600"/>
      </c:barChart>
      <c:lineChart>
        <c:grouping val="standard"/>
        <c:varyColors val="0"/>
        <c:ser>
          <c:idx val="1"/>
          <c:order val="1"/>
          <c:tx>
            <c:strRef>
              <c:f>SysV!$E$68</c:f>
              <c:strCache>
                <c:ptCount val="1"/>
                <c:pt idx="0">
                  <c:v>Before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SysV!$A$69:$A$76</c:f>
              <c:numCache>
                <c:formatCode>General</c:formatCode>
                <c:ptCount val="8"/>
              </c:numCache>
            </c:numRef>
          </c:cat>
          <c:val>
            <c:numRef>
              <c:f>SysV!$E$69:$E$76</c:f>
              <c:numCache>
                <c:formatCode>#\ ##0;\-#\ ##0;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8B6-4C6F-B27C-5F9C248997D8}"/>
            </c:ext>
          </c:extLst>
        </c:ser>
        <c:ser>
          <c:idx val="2"/>
          <c:order val="2"/>
          <c:tx>
            <c:strRef>
              <c:f>SysV!$F$68</c:f>
              <c:strCache>
                <c:ptCount val="1"/>
                <c:pt idx="0">
                  <c:v>After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SysV!$A$69:$A$76</c:f>
              <c:numCache>
                <c:formatCode>General</c:formatCode>
                <c:ptCount val="8"/>
              </c:numCache>
            </c:numRef>
          </c:cat>
          <c:val>
            <c:numRef>
              <c:f>SysV!$F$69:$F$76</c:f>
              <c:numCache>
                <c:formatCode>#\ ##0;\-#\ ##0;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8B6-4C6F-B27C-5F9C2489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204"/>
          <c:upBars>
            <c:spPr>
              <a:solidFill>
                <a:srgbClr val="FF0000"/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</c:upBars>
          <c:downBars>
            <c:spPr>
              <a:solidFill>
                <a:srgbClr val="00B050"/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downBars>
        </c:upDownBars>
        <c:marker val="1"/>
        <c:smooth val="0"/>
        <c:axId val="1595166320"/>
        <c:axId val="1595163600"/>
      </c:lineChart>
      <c:scatterChart>
        <c:scatterStyle val="lineMarker"/>
        <c:varyColors val="0"/>
        <c:ser>
          <c:idx val="3"/>
          <c:order val="3"/>
          <c:tx>
            <c:strRef>
              <c:f>SysV!$C$68</c:f>
              <c:strCache>
                <c:ptCount val="1"/>
                <c:pt idx="0">
                  <c:v>Cumulative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 w="6350">
                <a:solidFill>
                  <a:schemeClr val="bg1">
                    <a:lumMod val="65000"/>
                  </a:schemeClr>
                </a:solidFill>
                <a:prstDash val="solid"/>
              </a:ln>
            </c:spPr>
          </c:errBars>
          <c:xVal>
            <c:numRef>
              <c:f>SysV!$A$69:$A$76</c:f>
              <c:numCache>
                <c:formatCode>General</c:formatCode>
                <c:ptCount val="8"/>
              </c:numCache>
            </c:numRef>
          </c:xVal>
          <c:yVal>
            <c:numRef>
              <c:f>SysV!$C$69:$C$75</c:f>
              <c:numCache>
                <c:formatCode>#\ ##0;\-#\ ##0;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8B6-4C6F-B27C-5F9C248997D8}"/>
            </c:ext>
          </c:extLst>
        </c:ser>
        <c:ser>
          <c:idx val="4"/>
          <c:order val="4"/>
          <c:tx>
            <c:strRef>
              <c:f>SysV!$G$68</c:f>
              <c:strCache>
                <c:ptCount val="1"/>
                <c:pt idx="0">
                  <c:v>Data label position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ru-RU"/>
                      <a:t>18 825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8B6-4C6F-B27C-5F9C24899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-41
 (-4%)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8B6-4C6F-B27C-5F9C24899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-10
 (-9%)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B6-4C6F-B27C-5F9C24899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-149
 (-11%)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8B6-4C6F-B27C-5F9C248997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-8
 (0%)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B6-4C6F-B27C-5F9C248997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-579
 (-56%)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8B6-4C6F-B27C-5F9C248997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-191
 (-3%)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B6-4C6F-B27C-5F9C248997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3 352
 (1 016%)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8B6-4C6F-B27C-5F9C248997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-2
 (-57%)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8B6-4C6F-B27C-5F9C248997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-1
 (-13%)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8B6-4C6F-B27C-5F9C248997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-3
 (-32%)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B6-4C6F-B27C-5F9C248997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8B6-4C6F-B27C-5F9C248997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8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B6-4C6F-B27C-5F9C248997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0
 (-21%)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8B6-4C6F-B27C-5F9C248997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
 (-14%)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B6-4C6F-B27C-5F9C248997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8B6-4C6F-B27C-5F9C248997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-2
 (-56%)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B6-4C6F-B27C-5F9C248997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-2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8B6-4C6F-B27C-5F9C248997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-1
 (-40%)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B6-4C6F-B27C-5F9C248997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-1
 (-23%)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68B6-4C6F-B27C-5F9C248997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0
 (-53%)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B6-4C6F-B27C-5F9C248997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0
 (-100%)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B6-4C6F-B27C-5F9C248997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1
 (17%)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B6-4C6F-B27C-5F9C248997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-6
 (-39%)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68B6-4C6F-B27C-5F9C248997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0
 (-22%)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68B6-4C6F-B27C-5F9C248997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-105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68B6-4C6F-B27C-5F9C248997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15
 (647%)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8B6-4C6F-B27C-5F9C248997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-23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B6-4C6F-B27C-5F9C248997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-7
 (-49%)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8B6-4C6F-B27C-5F9C248997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-4
 (-36%)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B6-4C6F-B27C-5F9C248997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-1
 (-47%)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8B6-4C6F-B27C-5F9C248997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0
 (4%)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8B6-4C6F-B27C-5F9C248997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-11
 (-47%)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68B6-4C6F-B27C-5F9C248997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-17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68B6-4C6F-B27C-5F9C248997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-2
 (-45%)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68B6-4C6F-B27C-5F9C248997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-22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68B6-4C6F-B27C-5F9C248997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-11
 (-36%)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68B6-4C6F-B27C-5F9C248997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-10
 (-44%)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68B6-4C6F-B27C-5F9C248997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0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68B6-4C6F-B27C-5F9C248997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-5
 (-40%)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8B6-4C6F-B27C-5F9C248997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-16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68B6-4C6F-B27C-5F9C248997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-2
 (-24%)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8B6-4C6F-B27C-5F9C248997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-3
 (-53%)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8B6-4C6F-B27C-5F9C248997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-20
 (-36%)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8B6-4C6F-B27C-5F9C248997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-3
 (-31%)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8B6-4C6F-B27C-5F9C248997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-14
 (-28%)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8B6-4C6F-B27C-5F9C248997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2
 (38%)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8B6-4C6F-B27C-5F9C248997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-8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68B6-4C6F-B27C-5F9C248997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-9
 (-73%)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8B6-4C6F-B27C-5F9C248997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-2
 (-21%)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68B6-4C6F-B27C-5F9C248997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-2
 (-10%)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8B6-4C6F-B27C-5F9C248997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-6
 (-55%)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68B6-4C6F-B27C-5F9C248997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-4
 (-52%)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8B6-4C6F-B27C-5F9C248997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-1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68B6-4C6F-B27C-5F9C248997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-5
 (-32%)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8B6-4C6F-B27C-5F9C248997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-6
 (-23%)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68B6-4C6F-B27C-5F9C248997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-12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8B6-4C6F-B27C-5F9C248997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-5
 (-44%)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68B6-4C6F-B27C-5F9C248997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-3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8B6-4C6F-B27C-5F9C248997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-16
 (-39%)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68B6-4C6F-B27C-5F9C248997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-15
 (-46%)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68B6-4C6F-B27C-5F9C248997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-14
 (-38%)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68B6-4C6F-B27C-5F9C248997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0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68B6-4C6F-B27C-5F9C248997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-4
 (-39%)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68B6-4C6F-B27C-5F9C248997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-9
 (-19%)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68B6-4C6F-B27C-5F9C248997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-7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68B6-4C6F-B27C-5F9C248997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-7
 (-59%)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68B6-4C6F-B27C-5F9C248997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-6
 (-48%)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68B6-4C6F-B27C-5F9C248997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-7
 (-50%)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68B6-4C6F-B27C-5F9C248997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-10
 (-37%)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68B6-4C6F-B27C-5F9C248997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68B6-4C6F-B27C-5F9C248997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0
 (-1%)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68B6-4C6F-B27C-5F9C248997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0
 (-5%)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68B6-4C6F-B27C-5F9C248997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-1
 (-41%)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68B6-4C6F-B27C-5F9C248997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0
 (-20%)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68B6-4C6F-B27C-5F9C248997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6
 (294%)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68B6-4C6F-B27C-5F9C248997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2
 (26%)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68B6-4C6F-B27C-5F9C248997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-4
 (-44%)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68B6-4C6F-B27C-5F9C248997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-98
 (-30%)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68B6-4C6F-B27C-5F9C248997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0
 (-6%)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68B6-4C6F-B27C-5F9C248997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0
 (0%)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68B6-4C6F-B27C-5F9C248997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  <a:outerShdw blurRad="152400" dist="38100" dir="5400000" algn="ctr" rotWithShape="0">
                        <a:schemeClr val="bg1">
                          <a:alpha val="60000"/>
                        </a:schemeClr>
                      </a:outerShdw>
                    </a:effectLst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SysV!$A$69:$A$76</c:f>
              <c:numCache>
                <c:formatCode>General</c:formatCode>
                <c:ptCount val="8"/>
              </c:numCache>
            </c:numRef>
          </c:xVal>
          <c:yVal>
            <c:numRef>
              <c:f>SysV!$G$69:$G$76</c:f>
              <c:numCache>
                <c:formatCode>#\ ##0;\-#\ ##0;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68B6-4C6F-B27C-5F9C2489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166320"/>
        <c:axId val="1595163600"/>
      </c:scatterChart>
      <c:catAx>
        <c:axId val="159516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high"/>
        <c:spPr>
          <a:ln w="9525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800" b="1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ru-RU"/>
          </a:p>
        </c:txPr>
        <c:crossAx val="1595163600"/>
        <c:crosses val="autoZero"/>
        <c:auto val="1"/>
        <c:lblAlgn val="ctr"/>
        <c:lblOffset val="0"/>
        <c:noMultiLvlLbl val="0"/>
      </c:catAx>
      <c:valAx>
        <c:axId val="1595163600"/>
        <c:scaling>
          <c:orientation val="minMax"/>
        </c:scaling>
        <c:delete val="1"/>
        <c:axPos val="l"/>
        <c:numFmt formatCode="#\ ##0;\-#\ ##0;" sourceLinked="1"/>
        <c:majorTickMark val="out"/>
        <c:minorTickMark val="none"/>
        <c:tickLblPos val="nextTo"/>
        <c:crossAx val="15951663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png"/><Relationship Id="rId18" Type="http://schemas.openxmlformats.org/officeDocument/2006/relationships/image" Target="../media/image12.png"/><Relationship Id="rId26" Type="http://schemas.openxmlformats.org/officeDocument/2006/relationships/image" Target="../media/image16.png"/><Relationship Id="rId3" Type="http://schemas.openxmlformats.org/officeDocument/2006/relationships/image" Target="../media/image2.png"/><Relationship Id="rId21" Type="http://schemas.microsoft.com/office/2007/relationships/hdphoto" Target="../media/hdphoto6.wdp"/><Relationship Id="rId34" Type="http://schemas.openxmlformats.org/officeDocument/2006/relationships/image" Target="../media/image23.png"/><Relationship Id="rId7" Type="http://schemas.openxmlformats.org/officeDocument/2006/relationships/chart" Target="../charts/chart2.xml"/><Relationship Id="rId12" Type="http://schemas.openxmlformats.org/officeDocument/2006/relationships/image" Target="../media/image8.png"/><Relationship Id="rId17" Type="http://schemas.microsoft.com/office/2007/relationships/hdphoto" Target="../media/hdphoto4.wdp"/><Relationship Id="rId25" Type="http://schemas.microsoft.com/office/2007/relationships/hdphoto" Target="../media/hdphoto8.wdp"/><Relationship Id="rId33" Type="http://schemas.openxmlformats.org/officeDocument/2006/relationships/image" Target="../media/image22.png"/><Relationship Id="rId2" Type="http://schemas.microsoft.com/office/2007/relationships/hdphoto" Target="../media/hdphoto1.wdp"/><Relationship Id="rId16" Type="http://schemas.openxmlformats.org/officeDocument/2006/relationships/image" Target="../media/image11.png"/><Relationship Id="rId20" Type="http://schemas.openxmlformats.org/officeDocument/2006/relationships/image" Target="../media/image13.png"/><Relationship Id="rId29" Type="http://schemas.openxmlformats.org/officeDocument/2006/relationships/image" Target="../media/image18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image" Target="../media/image7.png"/><Relationship Id="rId24" Type="http://schemas.openxmlformats.org/officeDocument/2006/relationships/image" Target="../media/image15.png"/><Relationship Id="rId32" Type="http://schemas.openxmlformats.org/officeDocument/2006/relationships/image" Target="../media/image21.png"/><Relationship Id="rId37" Type="http://schemas.microsoft.com/office/2007/relationships/hdphoto" Target="../media/hdphoto10.wdp"/><Relationship Id="rId5" Type="http://schemas.openxmlformats.org/officeDocument/2006/relationships/image" Target="../media/image3.png"/><Relationship Id="rId15" Type="http://schemas.microsoft.com/office/2007/relationships/hdphoto" Target="../media/hdphoto3.wdp"/><Relationship Id="rId23" Type="http://schemas.microsoft.com/office/2007/relationships/hdphoto" Target="../media/hdphoto7.wdp"/><Relationship Id="rId28" Type="http://schemas.openxmlformats.org/officeDocument/2006/relationships/image" Target="../media/image17.png"/><Relationship Id="rId36" Type="http://schemas.openxmlformats.org/officeDocument/2006/relationships/image" Target="../media/image24.png"/><Relationship Id="rId10" Type="http://schemas.openxmlformats.org/officeDocument/2006/relationships/image" Target="../media/image6.png"/><Relationship Id="rId19" Type="http://schemas.microsoft.com/office/2007/relationships/hdphoto" Target="../media/hdphoto5.wdp"/><Relationship Id="rId31" Type="http://schemas.openxmlformats.org/officeDocument/2006/relationships/image" Target="../media/image20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4.png"/><Relationship Id="rId27" Type="http://schemas.microsoft.com/office/2007/relationships/hdphoto" Target="../media/hdphoto9.wdp"/><Relationship Id="rId30" Type="http://schemas.openxmlformats.org/officeDocument/2006/relationships/image" Target="../media/image19.png"/><Relationship Id="rId35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144614</xdr:colOff>
      <xdr:row>0</xdr:row>
      <xdr:rowOff>109735</xdr:rowOff>
    </xdr:from>
    <xdr:to>
      <xdr:col>1</xdr:col>
      <xdr:colOff>792614</xdr:colOff>
      <xdr:row>0</xdr:row>
      <xdr:rowOff>166885</xdr:rowOff>
    </xdr:to>
    <xdr:sp macro="[0]!пустой" textlink="">
      <xdr:nvSpPr>
        <xdr:cNvPr id="13" name="TextBox 12"/>
        <xdr:cNvSpPr txBox="1"/>
      </xdr:nvSpPr>
      <xdr:spPr>
        <a:xfrm>
          <a:off x="163664" y="109735"/>
          <a:ext cx="64800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l"/>
          <a:r>
            <a:rPr lang="en-US" sz="1800" b="1" i="0" baseline="0">
              <a:solidFill>
                <a:schemeClr val="bg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Dsh</a:t>
          </a:r>
        </a:p>
      </xdr:txBody>
    </xdr:sp>
    <xdr:clientData fLocksWithSheet="0" fPrintsWithSheet="0"/>
  </xdr:twoCellAnchor>
  <xdr:twoCellAnchor>
    <xdr:from>
      <xdr:col>1</xdr:col>
      <xdr:colOff>49779</xdr:colOff>
      <xdr:row>1</xdr:row>
      <xdr:rowOff>38282</xdr:rowOff>
    </xdr:from>
    <xdr:to>
      <xdr:col>1</xdr:col>
      <xdr:colOff>229779</xdr:colOff>
      <xdr:row>1</xdr:row>
      <xdr:rowOff>218282</xdr:rowOff>
    </xdr:to>
    <xdr:sp macro="[0]!KPI_Visible" textlink="">
      <xdr:nvSpPr>
        <xdr:cNvPr id="128" name="Скругленный прямоугольник 127"/>
        <xdr:cNvSpPr/>
      </xdr:nvSpPr>
      <xdr:spPr>
        <a:xfrm>
          <a:off x="68214" y="219564"/>
          <a:ext cx="180000" cy="180000"/>
        </a:xfrm>
        <a:prstGeom prst="roundRect">
          <a:avLst>
            <a:gd name="adj" fmla="val 15537"/>
          </a:avLst>
        </a:prstGeom>
        <a:noFill/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49779</xdr:colOff>
      <xdr:row>2</xdr:row>
      <xdr:rowOff>38282</xdr:rowOff>
    </xdr:from>
    <xdr:to>
      <xdr:col>1</xdr:col>
      <xdr:colOff>229779</xdr:colOff>
      <xdr:row>2</xdr:row>
      <xdr:rowOff>218282</xdr:rowOff>
    </xdr:to>
    <xdr:sp macro="[0]!TabV_Visible" textlink="">
      <xdr:nvSpPr>
        <xdr:cNvPr id="2" name="Скругленный прямоугольник 1"/>
        <xdr:cNvSpPr/>
      </xdr:nvSpPr>
      <xdr:spPr>
        <a:xfrm>
          <a:off x="68829" y="876482"/>
          <a:ext cx="180000" cy="180000"/>
        </a:xfrm>
        <a:prstGeom prst="roundRect">
          <a:avLst>
            <a:gd name="adj" fmla="val 15537"/>
          </a:avLst>
        </a:prstGeom>
        <a:noFill/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49779</xdr:colOff>
      <xdr:row>2</xdr:row>
      <xdr:rowOff>552632</xdr:rowOff>
    </xdr:from>
    <xdr:to>
      <xdr:col>1</xdr:col>
      <xdr:colOff>229779</xdr:colOff>
      <xdr:row>2</xdr:row>
      <xdr:rowOff>732632</xdr:rowOff>
    </xdr:to>
    <xdr:sp macro="[0]!TabV_Waterfall_Visible" textlink="">
      <xdr:nvSpPr>
        <xdr:cNvPr id="3" name="TabV_Settings_2_2"/>
        <xdr:cNvSpPr/>
      </xdr:nvSpPr>
      <xdr:spPr>
        <a:xfrm>
          <a:off x="68829" y="1390832"/>
          <a:ext cx="180000" cy="180000"/>
        </a:xfrm>
        <a:prstGeom prst="roundRect">
          <a:avLst>
            <a:gd name="adj" fmla="val 15537"/>
          </a:avLst>
        </a:prstGeom>
        <a:solidFill>
          <a:srgbClr val="7F7F7F"/>
        </a:solidFill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56274</xdr:colOff>
      <xdr:row>2</xdr:row>
      <xdr:rowOff>554064</xdr:rowOff>
    </xdr:from>
    <xdr:to>
      <xdr:col>1</xdr:col>
      <xdr:colOff>229278</xdr:colOff>
      <xdr:row>2</xdr:row>
      <xdr:rowOff>727068</xdr:rowOff>
    </xdr:to>
    <xdr:pic macro="[0]!TabV_Waterfall_Visible">
      <xdr:nvPicPr>
        <xdr:cNvPr id="4" name="TabV_Settings_2_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18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24" y="1392264"/>
          <a:ext cx="173004" cy="173004"/>
        </a:xfrm>
        <a:prstGeom prst="rect">
          <a:avLst/>
        </a:prstGeom>
      </xdr:spPr>
    </xdr:pic>
    <xdr:clientData/>
  </xdr:twoCellAnchor>
  <xdr:twoCellAnchor editAs="oneCell">
    <xdr:from>
      <xdr:col>1</xdr:col>
      <xdr:colOff>63589</xdr:colOff>
      <xdr:row>2</xdr:row>
      <xdr:rowOff>312316</xdr:rowOff>
    </xdr:from>
    <xdr:to>
      <xdr:col>1</xdr:col>
      <xdr:colOff>215970</xdr:colOff>
      <xdr:row>2</xdr:row>
      <xdr:rowOff>464697</xdr:rowOff>
    </xdr:to>
    <xdr:pic macro="[0]!Настройка_графика">
      <xdr:nvPicPr>
        <xdr:cNvPr id="5" name="TabV_Settings_1_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39" y="1150516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49779</xdr:colOff>
      <xdr:row>2</xdr:row>
      <xdr:rowOff>298164</xdr:rowOff>
    </xdr:from>
    <xdr:to>
      <xdr:col>1</xdr:col>
      <xdr:colOff>229779</xdr:colOff>
      <xdr:row>2</xdr:row>
      <xdr:rowOff>478164</xdr:rowOff>
    </xdr:to>
    <xdr:sp macro="[0]!Настройка_графика" textlink="">
      <xdr:nvSpPr>
        <xdr:cNvPr id="6" name="TabV_Settings_1_1"/>
        <xdr:cNvSpPr/>
      </xdr:nvSpPr>
      <xdr:spPr>
        <a:xfrm>
          <a:off x="68829" y="1136364"/>
          <a:ext cx="180000" cy="180000"/>
        </a:xfrm>
        <a:prstGeom prst="roundRect">
          <a:avLst>
            <a:gd name="adj" fmla="val 15537"/>
          </a:avLst>
        </a:prstGeom>
        <a:noFill/>
        <a:ln w="9525">
          <a:solidFill>
            <a:srgbClr val="00319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</xdr:col>
      <xdr:colOff>62158</xdr:colOff>
      <xdr:row>2</xdr:row>
      <xdr:rowOff>53092</xdr:rowOff>
    </xdr:from>
    <xdr:to>
      <xdr:col>1</xdr:col>
      <xdr:colOff>224158</xdr:colOff>
      <xdr:row>2</xdr:row>
      <xdr:rowOff>215092</xdr:rowOff>
    </xdr:to>
    <xdr:pic macro="[0]!TabV_Visible">
      <xdr:nvPicPr>
        <xdr:cNvPr id="7" name="HiddenTabV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08" y="862717"/>
          <a:ext cx="162000" cy="16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409575</xdr:colOff>
      <xdr:row>2</xdr:row>
      <xdr:rowOff>45077</xdr:rowOff>
    </xdr:from>
    <xdr:to>
      <xdr:col>17</xdr:col>
      <xdr:colOff>200025</xdr:colOff>
      <xdr:row>3</xdr:row>
      <xdr:rowOff>9698</xdr:rowOff>
    </xdr:to>
    <xdr:graphicFrame macro="">
      <xdr:nvGraphicFramePr>
        <xdr:cNvPr id="8" name="TabV_Year_Q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290651</xdr:colOff>
      <xdr:row>2</xdr:row>
      <xdr:rowOff>26027</xdr:rowOff>
    </xdr:from>
    <xdr:to>
      <xdr:col>11</xdr:col>
      <xdr:colOff>385601</xdr:colOff>
      <xdr:row>2</xdr:row>
      <xdr:rowOff>168902</xdr:rowOff>
    </xdr:to>
    <xdr:sp macro="" textlink="">
      <xdr:nvSpPr>
        <xdr:cNvPr id="9" name="TabV_Chart_head"/>
        <xdr:cNvSpPr/>
      </xdr:nvSpPr>
      <xdr:spPr>
        <a:xfrm>
          <a:off x="309701" y="835652"/>
          <a:ext cx="8496000" cy="142875"/>
        </a:xfrm>
        <a:prstGeom prst="round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ru-RU" sz="1000" b="0" i="1">
              <a:solidFill>
                <a:srgbClr val="002060"/>
              </a:solidFill>
            </a:rPr>
            <a:t>Итого (млн.р.)</a:t>
          </a:r>
        </a:p>
      </xdr:txBody>
    </xdr:sp>
    <xdr:clientData/>
  </xdr:twoCellAnchor>
  <xdr:twoCellAnchor editAs="oneCell">
    <xdr:from>
      <xdr:col>1</xdr:col>
      <xdr:colOff>266698</xdr:colOff>
      <xdr:row>2</xdr:row>
      <xdr:rowOff>140326</xdr:rowOff>
    </xdr:from>
    <xdr:to>
      <xdr:col>11</xdr:col>
      <xdr:colOff>333375</xdr:colOff>
      <xdr:row>3</xdr:row>
      <xdr:rowOff>7843</xdr:rowOff>
    </xdr:to>
    <xdr:graphicFrame macro="">
      <xdr:nvGraphicFramePr>
        <xdr:cNvPr id="10" name="TabV_Yea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3</xdr:row>
      <xdr:rowOff>483227</xdr:rowOff>
    </xdr:from>
    <xdr:to>
      <xdr:col>20</xdr:col>
      <xdr:colOff>7650</xdr:colOff>
      <xdr:row>3</xdr:row>
      <xdr:rowOff>483227</xdr:rowOff>
    </xdr:to>
    <xdr:cxnSp macro="[0]!пустой">
      <xdr:nvCxnSpPr>
        <xdr:cNvPr id="11" name="Прямая соединительная линия 10"/>
        <xdr:cNvCxnSpPr/>
      </xdr:nvCxnSpPr>
      <xdr:spPr>
        <a:xfrm flipH="1">
          <a:off x="19050" y="2816852"/>
          <a:ext cx="14238000" cy="0"/>
        </a:xfrm>
        <a:prstGeom prst="line">
          <a:avLst/>
        </a:prstGeom>
        <a:ln w="9525">
          <a:solidFill>
            <a:srgbClr val="00B0F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357326</xdr:colOff>
      <xdr:row>3</xdr:row>
      <xdr:rowOff>721352</xdr:rowOff>
    </xdr:from>
    <xdr:to>
      <xdr:col>19</xdr:col>
      <xdr:colOff>562676</xdr:colOff>
      <xdr:row>3</xdr:row>
      <xdr:rowOff>721352</xdr:rowOff>
    </xdr:to>
    <xdr:cxnSp macro="[0]!пустой">
      <xdr:nvCxnSpPr>
        <xdr:cNvPr id="12" name="Прямая соединительная линия 11"/>
        <xdr:cNvCxnSpPr/>
      </xdr:nvCxnSpPr>
      <xdr:spPr>
        <a:xfrm flipH="1">
          <a:off x="376376" y="3121652"/>
          <a:ext cx="13788000" cy="0"/>
        </a:xfrm>
        <a:prstGeom prst="line">
          <a:avLst/>
        </a:prstGeom>
        <a:ln w="3175"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47681</xdr:colOff>
      <xdr:row>0</xdr:row>
      <xdr:rowOff>58362</xdr:rowOff>
    </xdr:from>
    <xdr:to>
      <xdr:col>1</xdr:col>
      <xdr:colOff>90881</xdr:colOff>
      <xdr:row>0</xdr:row>
      <xdr:rowOff>148362</xdr:rowOff>
    </xdr:to>
    <xdr:sp macro="[0]!пустой" textlink="">
      <xdr:nvSpPr>
        <xdr:cNvPr id="14" name="Прямоугольник 13"/>
        <xdr:cNvSpPr/>
      </xdr:nvSpPr>
      <xdr:spPr>
        <a:xfrm>
          <a:off x="66731" y="58362"/>
          <a:ext cx="43200" cy="90000"/>
        </a:xfrm>
        <a:prstGeom prst="rect">
          <a:avLst/>
        </a:prstGeom>
        <a:solidFill>
          <a:srgbClr val="00B0F0"/>
        </a:solidFill>
        <a:ln>
          <a:noFill/>
        </a:ln>
        <a:effectLst>
          <a:reflection blurRad="6350" stA="50000" endA="300" endPos="55000" dir="5400000" sy="-100000" algn="bl" rotWithShape="0"/>
        </a:effectLst>
        <a:scene3d>
          <a:camera prst="isometricOffAxis1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 fLocksWithSheet="0" fPrintsWithSheet="0"/>
  </xdr:twoCellAnchor>
  <xdr:twoCellAnchor editAs="absolute">
    <xdr:from>
      <xdr:col>1</xdr:col>
      <xdr:colOff>74821</xdr:colOff>
      <xdr:row>0</xdr:row>
      <xdr:rowOff>76907</xdr:rowOff>
    </xdr:from>
    <xdr:to>
      <xdr:col>1</xdr:col>
      <xdr:colOff>116804</xdr:colOff>
      <xdr:row>0</xdr:row>
      <xdr:rowOff>166907</xdr:rowOff>
    </xdr:to>
    <xdr:sp macro="[0]!пустой" textlink="">
      <xdr:nvSpPr>
        <xdr:cNvPr id="15" name="Прямоугольник 14"/>
        <xdr:cNvSpPr/>
      </xdr:nvSpPr>
      <xdr:spPr>
        <a:xfrm>
          <a:off x="93871" y="76907"/>
          <a:ext cx="41983" cy="900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50800" dist="25400" dir="10800000" sx="90000" sy="90000" algn="r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  <a:scene3d>
          <a:camera prst="isometricOffAxis1Righ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 fLocksWithSheet="0" fPrintsWithSheet="0"/>
  </xdr:twoCellAnchor>
  <xdr:twoCellAnchor editAs="absolute">
    <xdr:from>
      <xdr:col>1</xdr:col>
      <xdr:colOff>313164</xdr:colOff>
      <xdr:row>1</xdr:row>
      <xdr:rowOff>19600</xdr:rowOff>
    </xdr:from>
    <xdr:to>
      <xdr:col>1</xdr:col>
      <xdr:colOff>2041659</xdr:colOff>
      <xdr:row>1</xdr:row>
      <xdr:rowOff>168521</xdr:rowOff>
    </xdr:to>
    <xdr:sp macro="" textlink="">
      <xdr:nvSpPr>
        <xdr:cNvPr id="16" name="KPI_AP"/>
        <xdr:cNvSpPr txBox="1"/>
      </xdr:nvSpPr>
      <xdr:spPr>
        <a:xfrm>
          <a:off x="332214" y="200575"/>
          <a:ext cx="1728495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Ставка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арен</a:t>
          </a:r>
          <a:r>
            <a:rPr lang="en-US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.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платы за 1 кв.м.</a:t>
          </a:r>
          <a:r>
            <a:rPr lang="en-US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, 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руб.</a:t>
          </a:r>
          <a:endParaRPr lang="ru-RU" sz="900" b="0" i="0" u="sng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1711817</xdr:colOff>
      <xdr:row>1</xdr:row>
      <xdr:rowOff>172692</xdr:rowOff>
    </xdr:from>
    <xdr:to>
      <xdr:col>1</xdr:col>
      <xdr:colOff>2283317</xdr:colOff>
      <xdr:row>1</xdr:row>
      <xdr:rowOff>325091</xdr:rowOff>
    </xdr:to>
    <xdr:sp macro="" textlink="">
      <xdr:nvSpPr>
        <xdr:cNvPr id="17" name="KPI_Text_1_1_2"/>
        <xdr:cNvSpPr txBox="1"/>
      </xdr:nvSpPr>
      <xdr:spPr>
        <a:xfrm>
          <a:off x="1730867" y="353667"/>
          <a:ext cx="571500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Регионы</a:t>
          </a:r>
        </a:p>
      </xdr:txBody>
    </xdr:sp>
    <xdr:clientData fLocksWithSheet="0" fPrintsWithSheet="0"/>
  </xdr:twoCellAnchor>
  <xdr:twoCellAnchor editAs="absolute">
    <xdr:from>
      <xdr:col>1</xdr:col>
      <xdr:colOff>983342</xdr:colOff>
      <xdr:row>1</xdr:row>
      <xdr:rowOff>273677</xdr:rowOff>
    </xdr:from>
    <xdr:to>
      <xdr:col>1</xdr:col>
      <xdr:colOff>1667342</xdr:colOff>
      <xdr:row>1</xdr:row>
      <xdr:rowOff>540377</xdr:rowOff>
    </xdr:to>
    <xdr:sp macro="" textlink="">
      <xdr:nvSpPr>
        <xdr:cNvPr id="18" name="KPI_Text_1_1"/>
        <xdr:cNvSpPr txBox="1"/>
      </xdr:nvSpPr>
      <xdr:spPr>
        <a:xfrm>
          <a:off x="1002392" y="454652"/>
          <a:ext cx="684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828777</xdr:colOff>
      <xdr:row>1</xdr:row>
      <xdr:rowOff>172692</xdr:rowOff>
    </xdr:from>
    <xdr:to>
      <xdr:col>1</xdr:col>
      <xdr:colOff>1400277</xdr:colOff>
      <xdr:row>1</xdr:row>
      <xdr:rowOff>325091</xdr:rowOff>
    </xdr:to>
    <xdr:sp macro="" textlink="">
      <xdr:nvSpPr>
        <xdr:cNvPr id="19" name="KPI_Text_1_1_1"/>
        <xdr:cNvSpPr txBox="1"/>
      </xdr:nvSpPr>
      <xdr:spPr>
        <a:xfrm>
          <a:off x="847827" y="353667"/>
          <a:ext cx="571500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Москва</a:t>
          </a:r>
        </a:p>
      </xdr:txBody>
    </xdr:sp>
    <xdr:clientData fLocksWithSheet="0" fPrintsWithSheet="0"/>
  </xdr:twoCellAnchor>
  <xdr:twoCellAnchor editAs="absolute">
    <xdr:from>
      <xdr:col>1</xdr:col>
      <xdr:colOff>828777</xdr:colOff>
      <xdr:row>1</xdr:row>
      <xdr:rowOff>334280</xdr:rowOff>
    </xdr:from>
    <xdr:to>
      <xdr:col>1</xdr:col>
      <xdr:colOff>947407</xdr:colOff>
      <xdr:row>1</xdr:row>
      <xdr:rowOff>473702</xdr:rowOff>
    </xdr:to>
    <xdr:sp macro="" textlink="">
      <xdr:nvSpPr>
        <xdr:cNvPr id="20" name="KPI_Arrow_1"/>
        <xdr:cNvSpPr/>
      </xdr:nvSpPr>
      <xdr:spPr>
        <a:xfrm rot="10800000" flipV="1">
          <a:off x="847827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oneCell">
    <xdr:from>
      <xdr:col>1</xdr:col>
      <xdr:colOff>367346</xdr:colOff>
      <xdr:row>3</xdr:row>
      <xdr:rowOff>271192</xdr:rowOff>
    </xdr:from>
    <xdr:to>
      <xdr:col>1</xdr:col>
      <xdr:colOff>1141346</xdr:colOff>
      <xdr:row>3</xdr:row>
      <xdr:rowOff>433192</xdr:rowOff>
    </xdr:to>
    <xdr:sp macro="[0]!Button_Jan" textlink="">
      <xdr:nvSpPr>
        <xdr:cNvPr id="21" name="Period_M1"/>
        <xdr:cNvSpPr/>
      </xdr:nvSpPr>
      <xdr:spPr>
        <a:xfrm>
          <a:off x="386396" y="2604817"/>
          <a:ext cx="7740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50" b="0">
              <a:solidFill>
                <a:srgbClr val="454545"/>
              </a:solidFill>
            </a:rPr>
            <a:t>январь</a:t>
          </a:r>
        </a:p>
      </xdr:txBody>
    </xdr:sp>
    <xdr:clientData fLocksWithSheet="0" fPrintsWithSheet="0"/>
  </xdr:twoCellAnchor>
  <xdr:twoCellAnchor editAs="oneCell">
    <xdr:from>
      <xdr:col>1</xdr:col>
      <xdr:colOff>1207927</xdr:colOff>
      <xdr:row>3</xdr:row>
      <xdr:rowOff>271192</xdr:rowOff>
    </xdr:from>
    <xdr:to>
      <xdr:col>1</xdr:col>
      <xdr:colOff>1981927</xdr:colOff>
      <xdr:row>3</xdr:row>
      <xdr:rowOff>433192</xdr:rowOff>
    </xdr:to>
    <xdr:sp macro="[0]!Button_Feb" textlink="">
      <xdr:nvSpPr>
        <xdr:cNvPr id="22" name="Period_M2"/>
        <xdr:cNvSpPr/>
      </xdr:nvSpPr>
      <xdr:spPr>
        <a:xfrm>
          <a:off x="1226977" y="2604817"/>
          <a:ext cx="774000" cy="162000"/>
        </a:xfrm>
        <a:prstGeom prst="roundRect">
          <a:avLst/>
        </a:prstGeom>
        <a:solidFill>
          <a:srgbClr val="FFFFFF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февраль</a:t>
          </a:r>
        </a:p>
      </xdr:txBody>
    </xdr:sp>
    <xdr:clientData fLocksWithSheet="0" fPrintsWithSheet="0"/>
  </xdr:twoCellAnchor>
  <xdr:twoCellAnchor editAs="oneCell">
    <xdr:from>
      <xdr:col>1</xdr:col>
      <xdr:colOff>2038984</xdr:colOff>
      <xdr:row>3</xdr:row>
      <xdr:rowOff>271192</xdr:rowOff>
    </xdr:from>
    <xdr:to>
      <xdr:col>2</xdr:col>
      <xdr:colOff>430304</xdr:colOff>
      <xdr:row>3</xdr:row>
      <xdr:rowOff>433192</xdr:rowOff>
    </xdr:to>
    <xdr:sp macro="[0]!Button_Mar" textlink="">
      <xdr:nvSpPr>
        <xdr:cNvPr id="23" name="Period_M3"/>
        <xdr:cNvSpPr/>
      </xdr:nvSpPr>
      <xdr:spPr>
        <a:xfrm>
          <a:off x="2058034" y="2604817"/>
          <a:ext cx="77257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март</a:t>
          </a:r>
        </a:p>
      </xdr:txBody>
    </xdr:sp>
    <xdr:clientData fLocksWithSheet="0" fPrintsWithSheet="0"/>
  </xdr:twoCellAnchor>
  <xdr:twoCellAnchor editAs="oneCell">
    <xdr:from>
      <xdr:col>2</xdr:col>
      <xdr:colOff>512603</xdr:colOff>
      <xdr:row>3</xdr:row>
      <xdr:rowOff>271192</xdr:rowOff>
    </xdr:from>
    <xdr:to>
      <xdr:col>3</xdr:col>
      <xdr:colOff>448526</xdr:colOff>
      <xdr:row>3</xdr:row>
      <xdr:rowOff>433192</xdr:rowOff>
    </xdr:to>
    <xdr:sp macro="[0]!Button_Apr" textlink="">
      <xdr:nvSpPr>
        <xdr:cNvPr id="24" name="Period_M4"/>
        <xdr:cNvSpPr/>
      </xdr:nvSpPr>
      <xdr:spPr>
        <a:xfrm>
          <a:off x="2912903" y="2604817"/>
          <a:ext cx="774123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апрель</a:t>
          </a:r>
        </a:p>
      </xdr:txBody>
    </xdr:sp>
    <xdr:clientData fLocksWithSheet="0" fPrintsWithSheet="0"/>
  </xdr:twoCellAnchor>
  <xdr:twoCellAnchor editAs="oneCell">
    <xdr:from>
      <xdr:col>3</xdr:col>
      <xdr:colOff>510345</xdr:colOff>
      <xdr:row>3</xdr:row>
      <xdr:rowOff>271192</xdr:rowOff>
    </xdr:from>
    <xdr:to>
      <xdr:col>4</xdr:col>
      <xdr:colOff>636522</xdr:colOff>
      <xdr:row>3</xdr:row>
      <xdr:rowOff>433192</xdr:rowOff>
    </xdr:to>
    <xdr:sp macro="[0]!Button_May" textlink="">
      <xdr:nvSpPr>
        <xdr:cNvPr id="25" name="Period_M5"/>
        <xdr:cNvSpPr/>
      </xdr:nvSpPr>
      <xdr:spPr>
        <a:xfrm>
          <a:off x="3748845" y="2604817"/>
          <a:ext cx="773877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май</a:t>
          </a:r>
        </a:p>
      </xdr:txBody>
    </xdr:sp>
    <xdr:clientData fLocksWithSheet="0" fPrintsWithSheet="0"/>
  </xdr:twoCellAnchor>
  <xdr:twoCellAnchor editAs="oneCell">
    <xdr:from>
      <xdr:col>5</xdr:col>
      <xdr:colOff>50641</xdr:colOff>
      <xdr:row>3</xdr:row>
      <xdr:rowOff>271192</xdr:rowOff>
    </xdr:from>
    <xdr:to>
      <xdr:col>6</xdr:col>
      <xdr:colOff>175510</xdr:colOff>
      <xdr:row>3</xdr:row>
      <xdr:rowOff>433192</xdr:rowOff>
    </xdr:to>
    <xdr:sp macro="[0]!Button_Jun" textlink="">
      <xdr:nvSpPr>
        <xdr:cNvPr id="26" name="Period_M6"/>
        <xdr:cNvSpPr/>
      </xdr:nvSpPr>
      <xdr:spPr>
        <a:xfrm>
          <a:off x="4584541" y="2604817"/>
          <a:ext cx="772569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июнь</a:t>
          </a:r>
        </a:p>
      </xdr:txBody>
    </xdr:sp>
    <xdr:clientData fLocksWithSheet="0" fPrintsWithSheet="0"/>
  </xdr:twoCellAnchor>
  <xdr:twoCellAnchor editAs="oneCell">
    <xdr:from>
      <xdr:col>6</xdr:col>
      <xdr:colOff>267335</xdr:colOff>
      <xdr:row>3</xdr:row>
      <xdr:rowOff>271192</xdr:rowOff>
    </xdr:from>
    <xdr:to>
      <xdr:col>7</xdr:col>
      <xdr:colOff>393758</xdr:colOff>
      <xdr:row>3</xdr:row>
      <xdr:rowOff>433192</xdr:rowOff>
    </xdr:to>
    <xdr:sp macro="[0]!Button_Jul" textlink="">
      <xdr:nvSpPr>
        <xdr:cNvPr id="27" name="Period_M7"/>
        <xdr:cNvSpPr/>
      </xdr:nvSpPr>
      <xdr:spPr>
        <a:xfrm>
          <a:off x="5448935" y="2604817"/>
          <a:ext cx="774123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июль</a:t>
          </a:r>
        </a:p>
      </xdr:txBody>
    </xdr:sp>
    <xdr:clientData fLocksWithSheet="0" fPrintsWithSheet="0"/>
  </xdr:twoCellAnchor>
  <xdr:twoCellAnchor editAs="oneCell">
    <xdr:from>
      <xdr:col>7</xdr:col>
      <xdr:colOff>450814</xdr:colOff>
      <xdr:row>3</xdr:row>
      <xdr:rowOff>271192</xdr:rowOff>
    </xdr:from>
    <xdr:to>
      <xdr:col>8</xdr:col>
      <xdr:colOff>576991</xdr:colOff>
      <xdr:row>3</xdr:row>
      <xdr:rowOff>433192</xdr:rowOff>
    </xdr:to>
    <xdr:sp macro="[0]!Button_Aug" textlink="">
      <xdr:nvSpPr>
        <xdr:cNvPr id="28" name="Period_M8"/>
        <xdr:cNvSpPr/>
      </xdr:nvSpPr>
      <xdr:spPr>
        <a:xfrm>
          <a:off x="6280114" y="2604817"/>
          <a:ext cx="773877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август</a:t>
          </a:r>
        </a:p>
      </xdr:txBody>
    </xdr:sp>
    <xdr:clientData fLocksWithSheet="0" fPrintsWithSheet="0"/>
  </xdr:twoCellAnchor>
  <xdr:twoCellAnchor editAs="oneCell">
    <xdr:from>
      <xdr:col>8</xdr:col>
      <xdr:colOff>634048</xdr:colOff>
      <xdr:row>3</xdr:row>
      <xdr:rowOff>271192</xdr:rowOff>
    </xdr:from>
    <xdr:to>
      <xdr:col>10</xdr:col>
      <xdr:colOff>112648</xdr:colOff>
      <xdr:row>3</xdr:row>
      <xdr:rowOff>433192</xdr:rowOff>
    </xdr:to>
    <xdr:sp macro="[0]!Button_Sep" textlink="">
      <xdr:nvSpPr>
        <xdr:cNvPr id="29" name="Period_M9"/>
        <xdr:cNvSpPr/>
      </xdr:nvSpPr>
      <xdr:spPr>
        <a:xfrm>
          <a:off x="7111048" y="2604817"/>
          <a:ext cx="7740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сентябрь</a:t>
          </a:r>
        </a:p>
      </xdr:txBody>
    </xdr:sp>
    <xdr:clientData fLocksWithSheet="0" fPrintsWithSheet="0"/>
  </xdr:twoCellAnchor>
  <xdr:twoCellAnchor editAs="oneCell">
    <xdr:from>
      <xdr:col>10</xdr:col>
      <xdr:colOff>211136</xdr:colOff>
      <xdr:row>3</xdr:row>
      <xdr:rowOff>271192</xdr:rowOff>
    </xdr:from>
    <xdr:to>
      <xdr:col>11</xdr:col>
      <xdr:colOff>338991</xdr:colOff>
      <xdr:row>3</xdr:row>
      <xdr:rowOff>433192</xdr:rowOff>
    </xdr:to>
    <xdr:sp macro="[0]!Button_Oct" textlink="">
      <xdr:nvSpPr>
        <xdr:cNvPr id="30" name="Period_M10"/>
        <xdr:cNvSpPr/>
      </xdr:nvSpPr>
      <xdr:spPr>
        <a:xfrm>
          <a:off x="7983536" y="2604817"/>
          <a:ext cx="775555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октябрь</a:t>
          </a:r>
        </a:p>
      </xdr:txBody>
    </xdr:sp>
    <xdr:clientData fLocksWithSheet="0" fPrintsWithSheet="0"/>
  </xdr:twoCellAnchor>
  <xdr:twoCellAnchor editAs="oneCell">
    <xdr:from>
      <xdr:col>11</xdr:col>
      <xdr:colOff>400810</xdr:colOff>
      <xdr:row>3</xdr:row>
      <xdr:rowOff>271192</xdr:rowOff>
    </xdr:from>
    <xdr:to>
      <xdr:col>12</xdr:col>
      <xdr:colOff>527110</xdr:colOff>
      <xdr:row>3</xdr:row>
      <xdr:rowOff>433192</xdr:rowOff>
    </xdr:to>
    <xdr:sp macro="[0]!Button_Nov" textlink="">
      <xdr:nvSpPr>
        <xdr:cNvPr id="31" name="Period_M11"/>
        <xdr:cNvSpPr/>
      </xdr:nvSpPr>
      <xdr:spPr>
        <a:xfrm>
          <a:off x="8820910" y="2604817"/>
          <a:ext cx="7740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ноябрь</a:t>
          </a:r>
        </a:p>
      </xdr:txBody>
    </xdr:sp>
    <xdr:clientData fLocksWithSheet="0" fPrintsWithSheet="0"/>
  </xdr:twoCellAnchor>
  <xdr:twoCellAnchor editAs="oneCell">
    <xdr:from>
      <xdr:col>12</xdr:col>
      <xdr:colOff>579280</xdr:colOff>
      <xdr:row>3</xdr:row>
      <xdr:rowOff>271192</xdr:rowOff>
    </xdr:from>
    <xdr:to>
      <xdr:col>14</xdr:col>
      <xdr:colOff>51157</xdr:colOff>
      <xdr:row>3</xdr:row>
      <xdr:rowOff>433192</xdr:rowOff>
    </xdr:to>
    <xdr:sp macro="[0]!Button_Dec" textlink="">
      <xdr:nvSpPr>
        <xdr:cNvPr id="32" name="Period_M12"/>
        <xdr:cNvSpPr/>
      </xdr:nvSpPr>
      <xdr:spPr>
        <a:xfrm>
          <a:off x="9647080" y="2604817"/>
          <a:ext cx="767277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декабрь</a:t>
          </a:r>
        </a:p>
      </xdr:txBody>
    </xdr:sp>
    <xdr:clientData fLocksWithSheet="0" fPrintsWithSheet="0"/>
  </xdr:twoCellAnchor>
  <xdr:twoCellAnchor editAs="oneCell">
    <xdr:from>
      <xdr:col>14</xdr:col>
      <xdr:colOff>142428</xdr:colOff>
      <xdr:row>3</xdr:row>
      <xdr:rowOff>58412</xdr:rowOff>
    </xdr:from>
    <xdr:to>
      <xdr:col>15</xdr:col>
      <xdr:colOff>271020</xdr:colOff>
      <xdr:row>3</xdr:row>
      <xdr:rowOff>436412</xdr:rowOff>
    </xdr:to>
    <xdr:sp macro="[0]!Button_Total" textlink="">
      <xdr:nvSpPr>
        <xdr:cNvPr id="33" name="Period_T"/>
        <xdr:cNvSpPr/>
      </xdr:nvSpPr>
      <xdr:spPr>
        <a:xfrm>
          <a:off x="10505628" y="2392037"/>
          <a:ext cx="776292" cy="378000"/>
        </a:xfrm>
        <a:prstGeom prst="roundRect">
          <a:avLst>
            <a:gd name="adj" fmla="val 8713"/>
          </a:avLst>
        </a:prstGeom>
        <a:solidFill>
          <a:srgbClr val="00AAEB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FFFFFF"/>
              </a:solidFill>
              <a:latin typeface="+mn-lt"/>
              <a:ea typeface="+mn-ea"/>
              <a:cs typeface="+mn-cs"/>
            </a:rPr>
            <a:t>Год итого</a:t>
          </a:r>
        </a:p>
      </xdr:txBody>
    </xdr:sp>
    <xdr:clientData fLocksWithSheet="0" fPrintsWithSheet="0"/>
  </xdr:twoCellAnchor>
  <xdr:twoCellAnchor editAs="oneCell">
    <xdr:from>
      <xdr:col>1</xdr:col>
      <xdr:colOff>367346</xdr:colOff>
      <xdr:row>3</xdr:row>
      <xdr:rowOff>59157</xdr:rowOff>
    </xdr:from>
    <xdr:to>
      <xdr:col>2</xdr:col>
      <xdr:colOff>425466</xdr:colOff>
      <xdr:row>3</xdr:row>
      <xdr:rowOff>221157</xdr:rowOff>
    </xdr:to>
    <xdr:sp macro="[0]!Button_1Q" textlink="">
      <xdr:nvSpPr>
        <xdr:cNvPr id="34" name="Period_Q1"/>
        <xdr:cNvSpPr/>
      </xdr:nvSpPr>
      <xdr:spPr>
        <a:xfrm>
          <a:off x="386396" y="2392782"/>
          <a:ext cx="243937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50" b="0">
              <a:solidFill>
                <a:srgbClr val="454545"/>
              </a:solidFill>
            </a:rPr>
            <a:t>1 квартал</a:t>
          </a:r>
        </a:p>
      </xdr:txBody>
    </xdr:sp>
    <xdr:clientData fLocksWithSheet="0" fPrintsWithSheet="0"/>
  </xdr:twoCellAnchor>
  <xdr:twoCellAnchor editAs="oneCell">
    <xdr:from>
      <xdr:col>2</xdr:col>
      <xdr:colOff>517585</xdr:colOff>
      <xdr:row>3</xdr:row>
      <xdr:rowOff>59157</xdr:rowOff>
    </xdr:from>
    <xdr:to>
      <xdr:col>6</xdr:col>
      <xdr:colOff>175654</xdr:colOff>
      <xdr:row>3</xdr:row>
      <xdr:rowOff>221157</xdr:rowOff>
    </xdr:to>
    <xdr:sp macro="[0]!Button_2Q" textlink="">
      <xdr:nvSpPr>
        <xdr:cNvPr id="35" name="Period_Q2"/>
        <xdr:cNvSpPr/>
      </xdr:nvSpPr>
      <xdr:spPr>
        <a:xfrm>
          <a:off x="2917885" y="2392782"/>
          <a:ext cx="2439369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2 квартал</a:t>
          </a:r>
        </a:p>
      </xdr:txBody>
    </xdr:sp>
    <xdr:clientData fLocksWithSheet="0" fPrintsWithSheet="0"/>
  </xdr:twoCellAnchor>
  <xdr:twoCellAnchor editAs="oneCell">
    <xdr:from>
      <xdr:col>6</xdr:col>
      <xdr:colOff>267774</xdr:colOff>
      <xdr:row>3</xdr:row>
      <xdr:rowOff>59157</xdr:rowOff>
    </xdr:from>
    <xdr:to>
      <xdr:col>10</xdr:col>
      <xdr:colOff>117774</xdr:colOff>
      <xdr:row>3</xdr:row>
      <xdr:rowOff>221157</xdr:rowOff>
    </xdr:to>
    <xdr:sp macro="[0]!Button_3Q" textlink="">
      <xdr:nvSpPr>
        <xdr:cNvPr id="36" name="Period_Q3"/>
        <xdr:cNvSpPr/>
      </xdr:nvSpPr>
      <xdr:spPr>
        <a:xfrm>
          <a:off x="5449374" y="2392782"/>
          <a:ext cx="2440800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3 квартал</a:t>
          </a:r>
        </a:p>
      </xdr:txBody>
    </xdr:sp>
    <xdr:clientData fLocksWithSheet="0" fPrintsWithSheet="0"/>
  </xdr:twoCellAnchor>
  <xdr:twoCellAnchor editAs="oneCell">
    <xdr:from>
      <xdr:col>10</xdr:col>
      <xdr:colOff>207032</xdr:colOff>
      <xdr:row>3</xdr:row>
      <xdr:rowOff>59157</xdr:rowOff>
    </xdr:from>
    <xdr:to>
      <xdr:col>14</xdr:col>
      <xdr:colOff>51740</xdr:colOff>
      <xdr:row>3</xdr:row>
      <xdr:rowOff>221157</xdr:rowOff>
    </xdr:to>
    <xdr:sp macro="[0]!Button_4Q" textlink="">
      <xdr:nvSpPr>
        <xdr:cNvPr id="37" name="Period_Q4"/>
        <xdr:cNvSpPr/>
      </xdr:nvSpPr>
      <xdr:spPr>
        <a:xfrm>
          <a:off x="7979432" y="2392782"/>
          <a:ext cx="2435508" cy="162000"/>
        </a:xfrm>
        <a:prstGeom prst="roundRect">
          <a:avLst/>
        </a:prstGeom>
        <a:solidFill>
          <a:srgbClr val="FFFF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ru-RU" sz="1050" b="0">
              <a:solidFill>
                <a:srgbClr val="454545"/>
              </a:solidFill>
              <a:latin typeface="+mn-lt"/>
              <a:ea typeface="+mn-ea"/>
              <a:cs typeface="+mn-cs"/>
            </a:rPr>
            <a:t>4 квартал</a:t>
          </a:r>
        </a:p>
      </xdr:txBody>
    </xdr:sp>
    <xdr:clientData fLocksWithSheet="0" fPrintsWithSheet="0"/>
  </xdr:twoCellAnchor>
  <xdr:twoCellAnchor editAs="absolute">
    <xdr:from>
      <xdr:col>1</xdr:col>
      <xdr:colOff>828777</xdr:colOff>
      <xdr:row>1</xdr:row>
      <xdr:rowOff>492752</xdr:rowOff>
    </xdr:from>
    <xdr:to>
      <xdr:col>1</xdr:col>
      <xdr:colOff>1548777</xdr:colOff>
      <xdr:row>1</xdr:row>
      <xdr:rowOff>626102</xdr:rowOff>
    </xdr:to>
    <xdr:sp macro="" textlink="">
      <xdr:nvSpPr>
        <xdr:cNvPr id="38" name="KPI_Text_1_3"/>
        <xdr:cNvSpPr txBox="1"/>
      </xdr:nvSpPr>
      <xdr:spPr>
        <a:xfrm>
          <a:off x="847827" y="67372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11</xdr:col>
      <xdr:colOff>97710</xdr:colOff>
      <xdr:row>1</xdr:row>
      <xdr:rowOff>19600</xdr:rowOff>
    </xdr:from>
    <xdr:to>
      <xdr:col>12</xdr:col>
      <xdr:colOff>135564</xdr:colOff>
      <xdr:row>1</xdr:row>
      <xdr:rowOff>168521</xdr:rowOff>
    </xdr:to>
    <xdr:sp macro="" textlink="">
      <xdr:nvSpPr>
        <xdr:cNvPr id="39" name="KPI_TMC"/>
        <xdr:cNvSpPr txBox="1"/>
      </xdr:nvSpPr>
      <xdr:spPr>
        <a:xfrm>
          <a:off x="8517810" y="200575"/>
          <a:ext cx="685554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ТМЦ, руб.</a:t>
          </a:r>
        </a:p>
      </xdr:txBody>
    </xdr:sp>
    <xdr:clientData fLocksWithSheet="0" fPrintsWithSheet="0"/>
  </xdr:twoCellAnchor>
  <xdr:twoCellAnchor editAs="absolute">
    <xdr:from>
      <xdr:col>2</xdr:col>
      <xdr:colOff>594441</xdr:colOff>
      <xdr:row>1</xdr:row>
      <xdr:rowOff>19600</xdr:rowOff>
    </xdr:from>
    <xdr:to>
      <xdr:col>5</xdr:col>
      <xdr:colOff>188964</xdr:colOff>
      <xdr:row>1</xdr:row>
      <xdr:rowOff>168521</xdr:rowOff>
    </xdr:to>
    <xdr:sp macro="" textlink="">
      <xdr:nvSpPr>
        <xdr:cNvPr id="40" name="KPI_EP"/>
        <xdr:cNvSpPr txBox="1"/>
      </xdr:nvSpPr>
      <xdr:spPr>
        <a:xfrm>
          <a:off x="2994741" y="200575"/>
          <a:ext cx="1728123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Эксплуат.расходы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за 1 кв.м., руб.</a:t>
          </a:r>
          <a:endParaRPr lang="ru-RU" sz="900" b="0" i="0" u="sng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7</xdr:col>
      <xdr:colOff>31036</xdr:colOff>
      <xdr:row>1</xdr:row>
      <xdr:rowOff>19600</xdr:rowOff>
    </xdr:from>
    <xdr:to>
      <xdr:col>9</xdr:col>
      <xdr:colOff>177189</xdr:colOff>
      <xdr:row>1</xdr:row>
      <xdr:rowOff>168521</xdr:rowOff>
    </xdr:to>
    <xdr:sp macro="" textlink="">
      <xdr:nvSpPr>
        <xdr:cNvPr id="41" name="KPI_TR"/>
        <xdr:cNvSpPr txBox="1"/>
      </xdr:nvSpPr>
      <xdr:spPr>
        <a:xfrm>
          <a:off x="5860336" y="200575"/>
          <a:ext cx="1441553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Транспортные расходы, руб.</a:t>
          </a:r>
        </a:p>
      </xdr:txBody>
    </xdr:sp>
    <xdr:clientData fLocksWithSheet="0" fPrintsWithSheet="0"/>
  </xdr:twoCellAnchor>
  <xdr:twoCellAnchor editAs="absolute">
    <xdr:from>
      <xdr:col>14</xdr:col>
      <xdr:colOff>11175</xdr:colOff>
      <xdr:row>1</xdr:row>
      <xdr:rowOff>19600</xdr:rowOff>
    </xdr:from>
    <xdr:to>
      <xdr:col>15</xdr:col>
      <xdr:colOff>582993</xdr:colOff>
      <xdr:row>1</xdr:row>
      <xdr:rowOff>168521</xdr:rowOff>
    </xdr:to>
    <xdr:sp macro="" textlink="">
      <xdr:nvSpPr>
        <xdr:cNvPr id="42" name="KPI_OP"/>
        <xdr:cNvSpPr txBox="1"/>
      </xdr:nvSpPr>
      <xdr:spPr>
        <a:xfrm>
          <a:off x="10374375" y="200575"/>
          <a:ext cx="1219518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Офисная</a:t>
          </a:r>
          <a:r>
            <a:rPr lang="ru-RU" sz="900" b="0" i="0" u="sng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площадь, кв.м.</a:t>
          </a:r>
          <a:endParaRPr lang="ru-RU" sz="900" b="0" i="0" u="sng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16</xdr:col>
      <xdr:colOff>606766</xdr:colOff>
      <xdr:row>1</xdr:row>
      <xdr:rowOff>19600</xdr:rowOff>
    </xdr:from>
    <xdr:to>
      <xdr:col>18</xdr:col>
      <xdr:colOff>319489</xdr:colOff>
      <xdr:row>1</xdr:row>
      <xdr:rowOff>168521</xdr:rowOff>
    </xdr:to>
    <xdr:sp macro="" textlink="">
      <xdr:nvSpPr>
        <xdr:cNvPr id="43" name="KPI_KMD"/>
        <xdr:cNvSpPr txBox="1"/>
      </xdr:nvSpPr>
      <xdr:spPr>
        <a:xfrm>
          <a:off x="12265366" y="200575"/>
          <a:ext cx="1008123" cy="14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 i="0" u="sng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Командировки, руб.</a:t>
          </a:r>
        </a:p>
      </xdr:txBody>
    </xdr:sp>
    <xdr:clientData fLocksWithSheet="0" fPrintsWithSheet="0"/>
  </xdr:twoCellAnchor>
  <xdr:twoCellAnchor editAs="absolute">
    <xdr:from>
      <xdr:col>2</xdr:col>
      <xdr:colOff>235233</xdr:colOff>
      <xdr:row>1</xdr:row>
      <xdr:rowOff>111750</xdr:rowOff>
    </xdr:from>
    <xdr:to>
      <xdr:col>2</xdr:col>
      <xdr:colOff>235233</xdr:colOff>
      <xdr:row>1</xdr:row>
      <xdr:rowOff>540377</xdr:rowOff>
    </xdr:to>
    <xdr:cxnSp macro="">
      <xdr:nvCxnSpPr>
        <xdr:cNvPr id="44" name="KPI_Line_1"/>
        <xdr:cNvCxnSpPr/>
      </xdr:nvCxnSpPr>
      <xdr:spPr>
        <a:xfrm>
          <a:off x="2635533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219709</xdr:colOff>
      <xdr:row>1</xdr:row>
      <xdr:rowOff>111750</xdr:rowOff>
    </xdr:from>
    <xdr:to>
      <xdr:col>6</xdr:col>
      <xdr:colOff>219709</xdr:colOff>
      <xdr:row>1</xdr:row>
      <xdr:rowOff>540377</xdr:rowOff>
    </xdr:to>
    <xdr:cxnSp macro="">
      <xdr:nvCxnSpPr>
        <xdr:cNvPr id="45" name="KPI_Line_2"/>
        <xdr:cNvCxnSpPr/>
      </xdr:nvCxnSpPr>
      <xdr:spPr>
        <a:xfrm>
          <a:off x="5401309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376871</xdr:colOff>
      <xdr:row>1</xdr:row>
      <xdr:rowOff>111750</xdr:rowOff>
    </xdr:from>
    <xdr:to>
      <xdr:col>10</xdr:col>
      <xdr:colOff>376871</xdr:colOff>
      <xdr:row>1</xdr:row>
      <xdr:rowOff>540377</xdr:rowOff>
    </xdr:to>
    <xdr:cxnSp macro="">
      <xdr:nvCxnSpPr>
        <xdr:cNvPr id="46" name="KPI_Line_3"/>
        <xdr:cNvCxnSpPr/>
      </xdr:nvCxnSpPr>
      <xdr:spPr>
        <a:xfrm>
          <a:off x="8149271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281621</xdr:colOff>
      <xdr:row>1</xdr:row>
      <xdr:rowOff>111750</xdr:rowOff>
    </xdr:from>
    <xdr:to>
      <xdr:col>13</xdr:col>
      <xdr:colOff>281621</xdr:colOff>
      <xdr:row>1</xdr:row>
      <xdr:rowOff>540377</xdr:rowOff>
    </xdr:to>
    <xdr:cxnSp macro="">
      <xdr:nvCxnSpPr>
        <xdr:cNvPr id="47" name="KPI_Line_4"/>
        <xdr:cNvCxnSpPr/>
      </xdr:nvCxnSpPr>
      <xdr:spPr>
        <a:xfrm>
          <a:off x="9997121" y="292725"/>
          <a:ext cx="0" cy="428627"/>
        </a:xfrm>
        <a:prstGeom prst="line">
          <a:avLst/>
        </a:prstGeom>
        <a:ln w="9525" cap="flat" cmpd="sng" algn="ctr">
          <a:solidFill>
            <a:schemeClr val="tx2">
              <a:lumMod val="40000"/>
              <a:lumOff val="6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246322</xdr:colOff>
      <xdr:row>1</xdr:row>
      <xdr:rowOff>111750</xdr:rowOff>
    </xdr:from>
    <xdr:to>
      <xdr:col>16</xdr:col>
      <xdr:colOff>246322</xdr:colOff>
      <xdr:row>1</xdr:row>
      <xdr:rowOff>540377</xdr:rowOff>
    </xdr:to>
    <xdr:cxnSp macro="">
      <xdr:nvCxnSpPr>
        <xdr:cNvPr id="48" name="KPI_Line_5"/>
        <xdr:cNvCxnSpPr/>
      </xdr:nvCxnSpPr>
      <xdr:spPr>
        <a:xfrm>
          <a:off x="11904922" y="292725"/>
          <a:ext cx="0" cy="428627"/>
        </a:xfrm>
        <a:prstGeom prst="line">
          <a:avLst/>
        </a:prstGeom>
        <a:ln w="9525" cap="flat" cmpd="sng" algn="ctr">
          <a:solidFill>
            <a:srgbClr val="8EB4E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351221</xdr:colOff>
      <xdr:row>2</xdr:row>
      <xdr:rowOff>49839</xdr:rowOff>
    </xdr:from>
    <xdr:to>
      <xdr:col>17</xdr:col>
      <xdr:colOff>351221</xdr:colOff>
      <xdr:row>2</xdr:row>
      <xdr:rowOff>1492877</xdr:rowOff>
    </xdr:to>
    <xdr:cxnSp macro="">
      <xdr:nvCxnSpPr>
        <xdr:cNvPr id="49" name="TabV_Line_1"/>
        <xdr:cNvCxnSpPr/>
      </xdr:nvCxnSpPr>
      <xdr:spPr>
        <a:xfrm>
          <a:off x="12657521" y="888039"/>
          <a:ext cx="0" cy="1443038"/>
        </a:xfrm>
        <a:prstGeom prst="line">
          <a:avLst/>
        </a:prstGeom>
        <a:ln w="3175" cap="rnd" cmpd="sng" algn="ctr">
          <a:solidFill>
            <a:srgbClr val="8EB4E3">
              <a:alpha val="76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275021</xdr:colOff>
      <xdr:row>1</xdr:row>
      <xdr:rowOff>254628</xdr:rowOff>
    </xdr:from>
    <xdr:to>
      <xdr:col>19</xdr:col>
      <xdr:colOff>636848</xdr:colOff>
      <xdr:row>1</xdr:row>
      <xdr:rowOff>398628</xdr:rowOff>
    </xdr:to>
    <xdr:sp macro="[0]!KPI_выбрать_старый" textlink="">
      <xdr:nvSpPr>
        <xdr:cNvPr id="50" name="KPI_OLD"/>
        <xdr:cNvSpPr/>
      </xdr:nvSpPr>
      <xdr:spPr>
        <a:xfrm>
          <a:off x="13876721" y="435603"/>
          <a:ext cx="361827" cy="14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20</a:t>
          </a:r>
          <a:r>
            <a:rPr lang="en-US" sz="900" b="1"/>
            <a:t>20</a:t>
          </a:r>
          <a:endParaRPr lang="ru-RU" sz="900" b="1"/>
        </a:p>
      </xdr:txBody>
    </xdr:sp>
    <xdr:clientData/>
  </xdr:twoCellAnchor>
  <xdr:twoCellAnchor editAs="absolute">
    <xdr:from>
      <xdr:col>19</xdr:col>
      <xdr:colOff>275021</xdr:colOff>
      <xdr:row>1</xdr:row>
      <xdr:rowOff>426077</xdr:rowOff>
    </xdr:from>
    <xdr:to>
      <xdr:col>19</xdr:col>
      <xdr:colOff>636848</xdr:colOff>
      <xdr:row>1</xdr:row>
      <xdr:rowOff>568952</xdr:rowOff>
    </xdr:to>
    <xdr:sp macro="[0]!KPI_выбрать_новый" textlink="">
      <xdr:nvSpPr>
        <xdr:cNvPr id="51" name="KPI_NEW"/>
        <xdr:cNvSpPr/>
      </xdr:nvSpPr>
      <xdr:spPr>
        <a:xfrm>
          <a:off x="13876721" y="607052"/>
          <a:ext cx="361827" cy="142875"/>
        </a:xfrm>
        <a:prstGeom prst="roundRect">
          <a:avLst/>
        </a:prstGeom>
        <a:solidFill>
          <a:srgbClr val="00AAE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202</a:t>
          </a:r>
          <a:r>
            <a:rPr lang="en-US" sz="900" b="1"/>
            <a:t>1</a:t>
          </a:r>
          <a:endParaRPr lang="ru-RU" sz="900" b="1"/>
        </a:p>
      </xdr:txBody>
    </xdr:sp>
    <xdr:clientData/>
  </xdr:twoCellAnchor>
  <xdr:twoCellAnchor editAs="absolute">
    <xdr:from>
      <xdr:col>1</xdr:col>
      <xdr:colOff>1840538</xdr:colOff>
      <xdr:row>1</xdr:row>
      <xdr:rowOff>273677</xdr:rowOff>
    </xdr:from>
    <xdr:to>
      <xdr:col>2</xdr:col>
      <xdr:colOff>143288</xdr:colOff>
      <xdr:row>1</xdr:row>
      <xdr:rowOff>540377</xdr:rowOff>
    </xdr:to>
    <xdr:sp macro="" textlink="">
      <xdr:nvSpPr>
        <xdr:cNvPr id="52" name="KPI_Text_1_2"/>
        <xdr:cNvSpPr txBox="1"/>
      </xdr:nvSpPr>
      <xdr:spPr>
        <a:xfrm>
          <a:off x="1859588" y="454652"/>
          <a:ext cx="684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1685973</xdr:colOff>
      <xdr:row>1</xdr:row>
      <xdr:rowOff>334280</xdr:rowOff>
    </xdr:from>
    <xdr:to>
      <xdr:col>1</xdr:col>
      <xdr:colOff>1804603</xdr:colOff>
      <xdr:row>1</xdr:row>
      <xdr:rowOff>473702</xdr:rowOff>
    </xdr:to>
    <xdr:sp macro="" textlink="">
      <xdr:nvSpPr>
        <xdr:cNvPr id="53" name="KPI_Arrow_2"/>
        <xdr:cNvSpPr/>
      </xdr:nvSpPr>
      <xdr:spPr>
        <a:xfrm rot="10800000" flipV="1">
          <a:off x="1705023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</xdr:col>
      <xdr:colOff>1685973</xdr:colOff>
      <xdr:row>1</xdr:row>
      <xdr:rowOff>492752</xdr:rowOff>
    </xdr:from>
    <xdr:to>
      <xdr:col>2</xdr:col>
      <xdr:colOff>24723</xdr:colOff>
      <xdr:row>1</xdr:row>
      <xdr:rowOff>626102</xdr:rowOff>
    </xdr:to>
    <xdr:sp macro="" textlink="">
      <xdr:nvSpPr>
        <xdr:cNvPr id="54" name="KPI_Text_1_4"/>
        <xdr:cNvSpPr txBox="1"/>
      </xdr:nvSpPr>
      <xdr:spPr>
        <a:xfrm>
          <a:off x="1705023" y="67372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4</xdr:col>
      <xdr:colOff>536929</xdr:colOff>
      <xdr:row>1</xdr:row>
      <xdr:rowOff>172692</xdr:rowOff>
    </xdr:from>
    <xdr:to>
      <xdr:col>5</xdr:col>
      <xdr:colOff>460438</xdr:colOff>
      <xdr:row>1</xdr:row>
      <xdr:rowOff>325091</xdr:rowOff>
    </xdr:to>
    <xdr:sp macro="" textlink="">
      <xdr:nvSpPr>
        <xdr:cNvPr id="55" name="KPI_Text_2_1_2"/>
        <xdr:cNvSpPr txBox="1"/>
      </xdr:nvSpPr>
      <xdr:spPr>
        <a:xfrm>
          <a:off x="4423129" y="353667"/>
          <a:ext cx="57120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Регионы</a:t>
          </a:r>
        </a:p>
      </xdr:txBody>
    </xdr:sp>
    <xdr:clientData fLocksWithSheet="0" fPrintsWithSheet="0"/>
  </xdr:twoCellAnchor>
  <xdr:twoCellAnchor editAs="absolute">
    <xdr:from>
      <xdr:col>3</xdr:col>
      <xdr:colOff>456649</xdr:colOff>
      <xdr:row>1</xdr:row>
      <xdr:rowOff>273677</xdr:rowOff>
    </xdr:from>
    <xdr:to>
      <xdr:col>4</xdr:col>
      <xdr:colOff>492454</xdr:colOff>
      <xdr:row>1</xdr:row>
      <xdr:rowOff>540377</xdr:rowOff>
    </xdr:to>
    <xdr:sp macro="" textlink="">
      <xdr:nvSpPr>
        <xdr:cNvPr id="56" name="KPI_Text_2_1"/>
        <xdr:cNvSpPr txBox="1"/>
      </xdr:nvSpPr>
      <xdr:spPr>
        <a:xfrm>
          <a:off x="3695149" y="454652"/>
          <a:ext cx="68350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3</xdr:col>
      <xdr:colOff>302084</xdr:colOff>
      <xdr:row>1</xdr:row>
      <xdr:rowOff>172692</xdr:rowOff>
    </xdr:from>
    <xdr:to>
      <xdr:col>4</xdr:col>
      <xdr:colOff>225513</xdr:colOff>
      <xdr:row>1</xdr:row>
      <xdr:rowOff>325091</xdr:rowOff>
    </xdr:to>
    <xdr:sp macro="" textlink="">
      <xdr:nvSpPr>
        <xdr:cNvPr id="57" name="KPI_Text_2_1_1"/>
        <xdr:cNvSpPr txBox="1"/>
      </xdr:nvSpPr>
      <xdr:spPr>
        <a:xfrm>
          <a:off x="3540584" y="353667"/>
          <a:ext cx="57112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Москва</a:t>
          </a:r>
        </a:p>
      </xdr:txBody>
    </xdr:sp>
    <xdr:clientData fLocksWithSheet="0" fPrintsWithSheet="0"/>
  </xdr:twoCellAnchor>
  <xdr:twoCellAnchor editAs="absolute">
    <xdr:from>
      <xdr:col>3</xdr:col>
      <xdr:colOff>302084</xdr:colOff>
      <xdr:row>1</xdr:row>
      <xdr:rowOff>334280</xdr:rowOff>
    </xdr:from>
    <xdr:to>
      <xdr:col>3</xdr:col>
      <xdr:colOff>420714</xdr:colOff>
      <xdr:row>1</xdr:row>
      <xdr:rowOff>473702</xdr:rowOff>
    </xdr:to>
    <xdr:sp macro="" textlink="">
      <xdr:nvSpPr>
        <xdr:cNvPr id="58" name="KPI_Arrow_3"/>
        <xdr:cNvSpPr/>
      </xdr:nvSpPr>
      <xdr:spPr>
        <a:xfrm rot="10800000" flipV="1">
          <a:off x="3540584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3</xdr:col>
      <xdr:colOff>302084</xdr:colOff>
      <xdr:row>1</xdr:row>
      <xdr:rowOff>492752</xdr:rowOff>
    </xdr:from>
    <xdr:to>
      <xdr:col>4</xdr:col>
      <xdr:colOff>374013</xdr:colOff>
      <xdr:row>1</xdr:row>
      <xdr:rowOff>626102</xdr:rowOff>
    </xdr:to>
    <xdr:sp macro="" textlink="">
      <xdr:nvSpPr>
        <xdr:cNvPr id="59" name="KPI_Text_2_3"/>
        <xdr:cNvSpPr txBox="1"/>
      </xdr:nvSpPr>
      <xdr:spPr>
        <a:xfrm>
          <a:off x="3540584" y="673727"/>
          <a:ext cx="719629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5</xdr:col>
      <xdr:colOff>16519</xdr:colOff>
      <xdr:row>1</xdr:row>
      <xdr:rowOff>273677</xdr:rowOff>
    </xdr:from>
    <xdr:to>
      <xdr:col>6</xdr:col>
      <xdr:colOff>52405</xdr:colOff>
      <xdr:row>1</xdr:row>
      <xdr:rowOff>540377</xdr:rowOff>
    </xdr:to>
    <xdr:sp macro="" textlink="">
      <xdr:nvSpPr>
        <xdr:cNvPr id="60" name="KPI_Text_2_2"/>
        <xdr:cNvSpPr txBox="1"/>
      </xdr:nvSpPr>
      <xdr:spPr>
        <a:xfrm>
          <a:off x="4550419" y="454652"/>
          <a:ext cx="68358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4</xdr:col>
      <xdr:colOff>511085</xdr:colOff>
      <xdr:row>1</xdr:row>
      <xdr:rowOff>334280</xdr:rowOff>
    </xdr:from>
    <xdr:to>
      <xdr:col>4</xdr:col>
      <xdr:colOff>629715</xdr:colOff>
      <xdr:row>1</xdr:row>
      <xdr:rowOff>473702</xdr:rowOff>
    </xdr:to>
    <xdr:sp macro="" textlink="">
      <xdr:nvSpPr>
        <xdr:cNvPr id="61" name="KPI_Arrow_4"/>
        <xdr:cNvSpPr/>
      </xdr:nvSpPr>
      <xdr:spPr>
        <a:xfrm rot="10800000" flipV="1">
          <a:off x="4397285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4</xdr:col>
      <xdr:colOff>511085</xdr:colOff>
      <xdr:row>1</xdr:row>
      <xdr:rowOff>492752</xdr:rowOff>
    </xdr:from>
    <xdr:to>
      <xdr:col>5</xdr:col>
      <xdr:colOff>583385</xdr:colOff>
      <xdr:row>1</xdr:row>
      <xdr:rowOff>626102</xdr:rowOff>
    </xdr:to>
    <xdr:sp macro="" textlink="">
      <xdr:nvSpPr>
        <xdr:cNvPr id="62" name="KPI_Text_2_4"/>
        <xdr:cNvSpPr txBox="1"/>
      </xdr:nvSpPr>
      <xdr:spPr>
        <a:xfrm>
          <a:off x="4397285" y="673727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9</xdr:col>
      <xdr:colOff>202759</xdr:colOff>
      <xdr:row>1</xdr:row>
      <xdr:rowOff>172692</xdr:rowOff>
    </xdr:from>
    <xdr:to>
      <xdr:col>10</xdr:col>
      <xdr:colOff>126022</xdr:colOff>
      <xdr:row>1</xdr:row>
      <xdr:rowOff>325091</xdr:rowOff>
    </xdr:to>
    <xdr:sp macro="" textlink="">
      <xdr:nvSpPr>
        <xdr:cNvPr id="63" name="KPI_Text_3_1_2"/>
        <xdr:cNvSpPr txBox="1"/>
      </xdr:nvSpPr>
      <xdr:spPr>
        <a:xfrm>
          <a:off x="7327459" y="353667"/>
          <a:ext cx="570963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 1 км.</a:t>
          </a:r>
        </a:p>
      </xdr:txBody>
    </xdr:sp>
    <xdr:clientData fLocksWithSheet="0" fPrintsWithSheet="0"/>
  </xdr:twoCellAnchor>
  <xdr:twoCellAnchor editAs="absolute">
    <xdr:from>
      <xdr:col>8</xdr:col>
      <xdr:colOff>121861</xdr:colOff>
      <xdr:row>1</xdr:row>
      <xdr:rowOff>273677</xdr:rowOff>
    </xdr:from>
    <xdr:to>
      <xdr:col>9</xdr:col>
      <xdr:colOff>158284</xdr:colOff>
      <xdr:row>1</xdr:row>
      <xdr:rowOff>540377</xdr:rowOff>
    </xdr:to>
    <xdr:sp macro="" textlink="">
      <xdr:nvSpPr>
        <xdr:cNvPr id="64" name="KPI_Text_3_1"/>
        <xdr:cNvSpPr txBox="1"/>
      </xdr:nvSpPr>
      <xdr:spPr>
        <a:xfrm>
          <a:off x="6598861" y="454652"/>
          <a:ext cx="684123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7</xdr:col>
      <xdr:colOff>614996</xdr:colOff>
      <xdr:row>1</xdr:row>
      <xdr:rowOff>172692</xdr:rowOff>
    </xdr:from>
    <xdr:to>
      <xdr:col>8</xdr:col>
      <xdr:colOff>615295</xdr:colOff>
      <xdr:row>1</xdr:row>
      <xdr:rowOff>325091</xdr:rowOff>
    </xdr:to>
    <xdr:sp macro="" textlink="">
      <xdr:nvSpPr>
        <xdr:cNvPr id="65" name="KPI_Text_3_1_1"/>
        <xdr:cNvSpPr txBox="1"/>
      </xdr:nvSpPr>
      <xdr:spPr>
        <a:xfrm>
          <a:off x="6444296" y="353667"/>
          <a:ext cx="64799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</a:t>
          </a:r>
          <a:r>
            <a:rPr lang="ru-RU" sz="850" b="0" i="1" u="none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1 сотр.</a:t>
          </a:r>
          <a:endParaRPr lang="ru-RU" sz="850" b="0" i="1" u="none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7</xdr:col>
      <xdr:colOff>614996</xdr:colOff>
      <xdr:row>1</xdr:row>
      <xdr:rowOff>334280</xdr:rowOff>
    </xdr:from>
    <xdr:to>
      <xdr:col>8</xdr:col>
      <xdr:colOff>84495</xdr:colOff>
      <xdr:row>1</xdr:row>
      <xdr:rowOff>473702</xdr:rowOff>
    </xdr:to>
    <xdr:sp macro="" textlink="">
      <xdr:nvSpPr>
        <xdr:cNvPr id="66" name="KPI_Arrow_5"/>
        <xdr:cNvSpPr/>
      </xdr:nvSpPr>
      <xdr:spPr>
        <a:xfrm rot="10800000" flipV="1">
          <a:off x="6444296" y="515255"/>
          <a:ext cx="117199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7</xdr:col>
      <xdr:colOff>614996</xdr:colOff>
      <xdr:row>1</xdr:row>
      <xdr:rowOff>492752</xdr:rowOff>
    </xdr:from>
    <xdr:to>
      <xdr:col>9</xdr:col>
      <xdr:colOff>38165</xdr:colOff>
      <xdr:row>1</xdr:row>
      <xdr:rowOff>626102</xdr:rowOff>
    </xdr:to>
    <xdr:sp macro="" textlink="">
      <xdr:nvSpPr>
        <xdr:cNvPr id="67" name="KPI_Text_3_3"/>
        <xdr:cNvSpPr txBox="1"/>
      </xdr:nvSpPr>
      <xdr:spPr>
        <a:xfrm>
          <a:off x="6444296" y="673727"/>
          <a:ext cx="718569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9</xdr:col>
      <xdr:colOff>331480</xdr:colOff>
      <xdr:row>1</xdr:row>
      <xdr:rowOff>273677</xdr:rowOff>
    </xdr:from>
    <xdr:to>
      <xdr:col>10</xdr:col>
      <xdr:colOff>367367</xdr:colOff>
      <xdr:row>1</xdr:row>
      <xdr:rowOff>540377</xdr:rowOff>
    </xdr:to>
    <xdr:sp macro="" textlink="">
      <xdr:nvSpPr>
        <xdr:cNvPr id="68" name="KPI_Text_3_2"/>
        <xdr:cNvSpPr txBox="1"/>
      </xdr:nvSpPr>
      <xdr:spPr>
        <a:xfrm>
          <a:off x="7456180" y="454652"/>
          <a:ext cx="683587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9</xdr:col>
      <xdr:colOff>176915</xdr:colOff>
      <xdr:row>1</xdr:row>
      <xdr:rowOff>334280</xdr:rowOff>
    </xdr:from>
    <xdr:to>
      <xdr:col>9</xdr:col>
      <xdr:colOff>295545</xdr:colOff>
      <xdr:row>1</xdr:row>
      <xdr:rowOff>473702</xdr:rowOff>
    </xdr:to>
    <xdr:sp macro="" textlink="">
      <xdr:nvSpPr>
        <xdr:cNvPr id="69" name="KPI_Arrow_6"/>
        <xdr:cNvSpPr/>
      </xdr:nvSpPr>
      <xdr:spPr>
        <a:xfrm rot="10800000" flipV="1">
          <a:off x="7301615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9</xdr:col>
      <xdr:colOff>176915</xdr:colOff>
      <xdr:row>1</xdr:row>
      <xdr:rowOff>492752</xdr:rowOff>
    </xdr:from>
    <xdr:to>
      <xdr:col>10</xdr:col>
      <xdr:colOff>249216</xdr:colOff>
      <xdr:row>1</xdr:row>
      <xdr:rowOff>626102</xdr:rowOff>
    </xdr:to>
    <xdr:sp macro="" textlink="">
      <xdr:nvSpPr>
        <xdr:cNvPr id="70" name="KPI_Text_3_4"/>
        <xdr:cNvSpPr txBox="1"/>
      </xdr:nvSpPr>
      <xdr:spPr>
        <a:xfrm>
          <a:off x="7301615" y="673727"/>
          <a:ext cx="720001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11</xdr:col>
      <xdr:colOff>631315</xdr:colOff>
      <xdr:row>1</xdr:row>
      <xdr:rowOff>172692</xdr:rowOff>
    </xdr:from>
    <xdr:to>
      <xdr:col>12</xdr:col>
      <xdr:colOff>631615</xdr:colOff>
      <xdr:row>1</xdr:row>
      <xdr:rowOff>325091</xdr:rowOff>
    </xdr:to>
    <xdr:sp macro="" textlink="">
      <xdr:nvSpPr>
        <xdr:cNvPr id="71" name="KPI_Text_4_1_1"/>
        <xdr:cNvSpPr txBox="1"/>
      </xdr:nvSpPr>
      <xdr:spPr>
        <a:xfrm>
          <a:off x="9051415" y="353667"/>
          <a:ext cx="648000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 1 сотр.</a:t>
          </a:r>
        </a:p>
      </xdr:txBody>
    </xdr:sp>
    <xdr:clientData fLocksWithSheet="0" fPrintsWithSheet="0"/>
  </xdr:twoCellAnchor>
  <xdr:twoCellAnchor editAs="absolute">
    <xdr:from>
      <xdr:col>12</xdr:col>
      <xdr:colOff>245809</xdr:colOff>
      <xdr:row>1</xdr:row>
      <xdr:rowOff>273677</xdr:rowOff>
    </xdr:from>
    <xdr:to>
      <xdr:col>13</xdr:col>
      <xdr:colOff>253170</xdr:colOff>
      <xdr:row>1</xdr:row>
      <xdr:rowOff>540377</xdr:rowOff>
    </xdr:to>
    <xdr:sp macro="" textlink="">
      <xdr:nvSpPr>
        <xdr:cNvPr id="72" name="KPI_Text_4_1"/>
        <xdr:cNvSpPr txBox="1"/>
      </xdr:nvSpPr>
      <xdr:spPr>
        <a:xfrm>
          <a:off x="9313609" y="454652"/>
          <a:ext cx="655061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11</xdr:col>
      <xdr:colOff>605471</xdr:colOff>
      <xdr:row>1</xdr:row>
      <xdr:rowOff>334280</xdr:rowOff>
    </xdr:from>
    <xdr:to>
      <xdr:col>12</xdr:col>
      <xdr:colOff>74970</xdr:colOff>
      <xdr:row>1</xdr:row>
      <xdr:rowOff>473702</xdr:rowOff>
    </xdr:to>
    <xdr:sp macro="" textlink="">
      <xdr:nvSpPr>
        <xdr:cNvPr id="73" name="KPI_Arrow_7"/>
        <xdr:cNvSpPr/>
      </xdr:nvSpPr>
      <xdr:spPr>
        <a:xfrm rot="10800000" flipV="1">
          <a:off x="9025571" y="515255"/>
          <a:ext cx="117199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11</xdr:col>
      <xdr:colOff>605471</xdr:colOff>
      <xdr:row>1</xdr:row>
      <xdr:rowOff>492752</xdr:rowOff>
    </xdr:from>
    <xdr:to>
      <xdr:col>13</xdr:col>
      <xdr:colOff>28641</xdr:colOff>
      <xdr:row>1</xdr:row>
      <xdr:rowOff>626102</xdr:rowOff>
    </xdr:to>
    <xdr:sp macro="" textlink="">
      <xdr:nvSpPr>
        <xdr:cNvPr id="74" name="KPI_Text_4_2"/>
        <xdr:cNvSpPr txBox="1"/>
      </xdr:nvSpPr>
      <xdr:spPr>
        <a:xfrm>
          <a:off x="9025571" y="673727"/>
          <a:ext cx="71857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14</xdr:col>
      <xdr:colOff>583690</xdr:colOff>
      <xdr:row>1</xdr:row>
      <xdr:rowOff>172692</xdr:rowOff>
    </xdr:from>
    <xdr:to>
      <xdr:col>15</xdr:col>
      <xdr:colOff>541267</xdr:colOff>
      <xdr:row>1</xdr:row>
      <xdr:rowOff>325091</xdr:rowOff>
    </xdr:to>
    <xdr:sp macro="" textlink="">
      <xdr:nvSpPr>
        <xdr:cNvPr id="75" name="KPI_Text_5_1_1"/>
        <xdr:cNvSpPr txBox="1"/>
      </xdr:nvSpPr>
      <xdr:spPr>
        <a:xfrm>
          <a:off x="10946890" y="353667"/>
          <a:ext cx="605277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</a:t>
          </a:r>
          <a:r>
            <a:rPr lang="ru-RU" sz="850" b="0" i="1" u="none" baseline="0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 1 сотр.</a:t>
          </a:r>
          <a:endParaRPr lang="ru-RU" sz="850" b="0" i="1" u="none">
            <a:solidFill>
              <a:sysClr val="windowText" lastClr="000000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15</xdr:col>
      <xdr:colOff>100741</xdr:colOff>
      <xdr:row>1</xdr:row>
      <xdr:rowOff>273677</xdr:rowOff>
    </xdr:from>
    <xdr:to>
      <xdr:col>16</xdr:col>
      <xdr:colOff>132097</xdr:colOff>
      <xdr:row>1</xdr:row>
      <xdr:rowOff>540377</xdr:rowOff>
    </xdr:to>
    <xdr:sp macro="" textlink="">
      <xdr:nvSpPr>
        <xdr:cNvPr id="76" name="KPI_Text_5_1"/>
        <xdr:cNvSpPr txBox="1"/>
      </xdr:nvSpPr>
      <xdr:spPr>
        <a:xfrm>
          <a:off x="11111641" y="454652"/>
          <a:ext cx="67905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14</xdr:col>
      <xdr:colOff>595946</xdr:colOff>
      <xdr:row>1</xdr:row>
      <xdr:rowOff>334280</xdr:rowOff>
    </xdr:from>
    <xdr:to>
      <xdr:col>15</xdr:col>
      <xdr:colOff>67484</xdr:colOff>
      <xdr:row>1</xdr:row>
      <xdr:rowOff>473702</xdr:rowOff>
    </xdr:to>
    <xdr:sp macro="" textlink="">
      <xdr:nvSpPr>
        <xdr:cNvPr id="77" name="KPI_Arrow_8"/>
        <xdr:cNvSpPr/>
      </xdr:nvSpPr>
      <xdr:spPr>
        <a:xfrm rot="10800000" flipV="1">
          <a:off x="10959146" y="515255"/>
          <a:ext cx="119238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14</xdr:col>
      <xdr:colOff>595946</xdr:colOff>
      <xdr:row>1</xdr:row>
      <xdr:rowOff>492752</xdr:rowOff>
    </xdr:from>
    <xdr:to>
      <xdr:col>16</xdr:col>
      <xdr:colOff>13823</xdr:colOff>
      <xdr:row>1</xdr:row>
      <xdr:rowOff>626102</xdr:rowOff>
    </xdr:to>
    <xdr:sp macro="" textlink="">
      <xdr:nvSpPr>
        <xdr:cNvPr id="78" name="KPI_Text_5_2"/>
        <xdr:cNvSpPr txBox="1"/>
      </xdr:nvSpPr>
      <xdr:spPr>
        <a:xfrm>
          <a:off x="10959146" y="673727"/>
          <a:ext cx="713277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17</xdr:col>
      <xdr:colOff>493972</xdr:colOff>
      <xdr:row>1</xdr:row>
      <xdr:rowOff>334280</xdr:rowOff>
    </xdr:from>
    <xdr:to>
      <xdr:col>17</xdr:col>
      <xdr:colOff>612602</xdr:colOff>
      <xdr:row>1</xdr:row>
      <xdr:rowOff>473702</xdr:rowOff>
    </xdr:to>
    <xdr:sp macro="" textlink="">
      <xdr:nvSpPr>
        <xdr:cNvPr id="79" name="KPI_Arrow_9"/>
        <xdr:cNvSpPr/>
      </xdr:nvSpPr>
      <xdr:spPr>
        <a:xfrm rot="10800000" flipV="1">
          <a:off x="12800272" y="515255"/>
          <a:ext cx="118630" cy="139422"/>
        </a:xfrm>
        <a:prstGeom prst="downArrow">
          <a:avLst>
            <a:gd name="adj1" fmla="val 35401"/>
            <a:gd name="adj2" fmla="val 53650"/>
          </a:avLst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absolute">
    <xdr:from>
      <xdr:col>17</xdr:col>
      <xdr:colOff>519816</xdr:colOff>
      <xdr:row>1</xdr:row>
      <xdr:rowOff>172692</xdr:rowOff>
    </xdr:from>
    <xdr:to>
      <xdr:col>18</xdr:col>
      <xdr:colOff>484115</xdr:colOff>
      <xdr:row>1</xdr:row>
      <xdr:rowOff>325091</xdr:rowOff>
    </xdr:to>
    <xdr:sp macro="" textlink="">
      <xdr:nvSpPr>
        <xdr:cNvPr id="80" name="KPI_Text_6_1_1"/>
        <xdr:cNvSpPr txBox="1"/>
      </xdr:nvSpPr>
      <xdr:spPr>
        <a:xfrm>
          <a:off x="12826116" y="353667"/>
          <a:ext cx="611999" cy="152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l"/>
          <a:r>
            <a:rPr lang="ru-RU" sz="850" b="0" i="1" u="none">
              <a:solidFill>
                <a:sysClr val="windowText" lastClr="000000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 1 сотр.</a:t>
          </a:r>
        </a:p>
      </xdr:txBody>
    </xdr:sp>
    <xdr:clientData fLocksWithSheet="0" fPrintsWithSheet="0"/>
  </xdr:twoCellAnchor>
  <xdr:twoCellAnchor editAs="absolute">
    <xdr:from>
      <xdr:col>18</xdr:col>
      <xdr:colOff>837</xdr:colOff>
      <xdr:row>1</xdr:row>
      <xdr:rowOff>273677</xdr:rowOff>
    </xdr:from>
    <xdr:to>
      <xdr:col>19</xdr:col>
      <xdr:colOff>36722</xdr:colOff>
      <xdr:row>1</xdr:row>
      <xdr:rowOff>540377</xdr:rowOff>
    </xdr:to>
    <xdr:sp macro="" textlink="">
      <xdr:nvSpPr>
        <xdr:cNvPr id="81" name="KPI_Text_6_1"/>
        <xdr:cNvSpPr txBox="1"/>
      </xdr:nvSpPr>
      <xdr:spPr>
        <a:xfrm>
          <a:off x="12954837" y="454652"/>
          <a:ext cx="68358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16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17</xdr:col>
      <xdr:colOff>493972</xdr:colOff>
      <xdr:row>1</xdr:row>
      <xdr:rowOff>492752</xdr:rowOff>
    </xdr:from>
    <xdr:to>
      <xdr:col>18</xdr:col>
      <xdr:colOff>566271</xdr:colOff>
      <xdr:row>1</xdr:row>
      <xdr:rowOff>626102</xdr:rowOff>
    </xdr:to>
    <xdr:sp macro="" textlink="">
      <xdr:nvSpPr>
        <xdr:cNvPr id="82" name="KPI_Text_6_2"/>
        <xdr:cNvSpPr txBox="1"/>
      </xdr:nvSpPr>
      <xdr:spPr>
        <a:xfrm>
          <a:off x="12800272" y="673727"/>
          <a:ext cx="719999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endParaRPr lang="ru-RU" sz="800" b="0">
            <a:solidFill>
              <a:srgbClr val="002882"/>
            </a:solidFill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absolute">
    <xdr:from>
      <xdr:col>1</xdr:col>
      <xdr:colOff>319226</xdr:colOff>
      <xdr:row>1</xdr:row>
      <xdr:rowOff>216526</xdr:rowOff>
    </xdr:from>
    <xdr:to>
      <xdr:col>1</xdr:col>
      <xdr:colOff>697721</xdr:colOff>
      <xdr:row>1</xdr:row>
      <xdr:rowOff>588002</xdr:rowOff>
    </xdr:to>
    <xdr:pic>
      <xdr:nvPicPr>
        <xdr:cNvPr id="83" name="KPI_AP_IMG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76" y="397501"/>
          <a:ext cx="378495" cy="371476"/>
        </a:xfrm>
        <a:prstGeom prst="rect">
          <a:avLst/>
        </a:prstGeom>
      </xdr:spPr>
    </xdr:pic>
    <xdr:clientData/>
  </xdr:twoCellAnchor>
  <xdr:twoCellAnchor editAs="absolute">
    <xdr:from>
      <xdr:col>2</xdr:col>
      <xdr:colOff>605470</xdr:colOff>
      <xdr:row>1</xdr:row>
      <xdr:rowOff>216526</xdr:rowOff>
    </xdr:from>
    <xdr:to>
      <xdr:col>3</xdr:col>
      <xdr:colOff>145270</xdr:colOff>
      <xdr:row>1</xdr:row>
      <xdr:rowOff>588002</xdr:rowOff>
    </xdr:to>
    <xdr:pic>
      <xdr:nvPicPr>
        <xdr:cNvPr id="84" name="KPI_EP_IMG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770" y="397501"/>
          <a:ext cx="378000" cy="371476"/>
        </a:xfrm>
        <a:prstGeom prst="rect">
          <a:avLst/>
        </a:prstGeom>
      </xdr:spPr>
    </xdr:pic>
    <xdr:clientData/>
  </xdr:twoCellAnchor>
  <xdr:twoCellAnchor editAs="absolute">
    <xdr:from>
      <xdr:col>7</xdr:col>
      <xdr:colOff>32540</xdr:colOff>
      <xdr:row>1</xdr:row>
      <xdr:rowOff>216526</xdr:rowOff>
    </xdr:from>
    <xdr:to>
      <xdr:col>7</xdr:col>
      <xdr:colOff>446459</xdr:colOff>
      <xdr:row>1</xdr:row>
      <xdr:rowOff>588002</xdr:rowOff>
    </xdr:to>
    <xdr:pic>
      <xdr:nvPicPr>
        <xdr:cNvPr id="85" name="KPI_TR_IMG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840" y="397501"/>
          <a:ext cx="413919" cy="371476"/>
        </a:xfrm>
        <a:prstGeom prst="rect">
          <a:avLst/>
        </a:prstGeom>
      </xdr:spPr>
    </xdr:pic>
    <xdr:clientData/>
  </xdr:twoCellAnchor>
  <xdr:twoCellAnchor editAs="absolute">
    <xdr:from>
      <xdr:col>14</xdr:col>
      <xdr:colOff>23015</xdr:colOff>
      <xdr:row>1</xdr:row>
      <xdr:rowOff>216526</xdr:rowOff>
    </xdr:from>
    <xdr:to>
      <xdr:col>14</xdr:col>
      <xdr:colOff>446399</xdr:colOff>
      <xdr:row>1</xdr:row>
      <xdr:rowOff>588002</xdr:rowOff>
    </xdr:to>
    <xdr:pic>
      <xdr:nvPicPr>
        <xdr:cNvPr id="86" name="KPI_OP_IMG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6215" y="397501"/>
          <a:ext cx="423384" cy="371476"/>
        </a:xfrm>
        <a:prstGeom prst="rect">
          <a:avLst/>
        </a:prstGeom>
      </xdr:spPr>
    </xdr:pic>
    <xdr:clientData/>
  </xdr:twoCellAnchor>
  <xdr:twoCellAnchor editAs="absolute">
    <xdr:from>
      <xdr:col>16</xdr:col>
      <xdr:colOff>627322</xdr:colOff>
      <xdr:row>1</xdr:row>
      <xdr:rowOff>216526</xdr:rowOff>
    </xdr:from>
    <xdr:to>
      <xdr:col>17</xdr:col>
      <xdr:colOff>350187</xdr:colOff>
      <xdr:row>1</xdr:row>
      <xdr:rowOff>588002</xdr:rowOff>
    </xdr:to>
    <xdr:pic>
      <xdr:nvPicPr>
        <xdr:cNvPr id="87" name="KPI_KMD_IMG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5922" y="397501"/>
          <a:ext cx="370565" cy="371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129344</xdr:colOff>
      <xdr:row>1</xdr:row>
      <xdr:rowOff>216526</xdr:rowOff>
    </xdr:from>
    <xdr:to>
      <xdr:col>11</xdr:col>
      <xdr:colOff>455338</xdr:colOff>
      <xdr:row>1</xdr:row>
      <xdr:rowOff>588002</xdr:rowOff>
    </xdr:to>
    <xdr:pic>
      <xdr:nvPicPr>
        <xdr:cNvPr id="88" name="KPI_TMC_IMG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9444" y="397501"/>
          <a:ext cx="325994" cy="371476"/>
        </a:xfrm>
        <a:prstGeom prst="rect">
          <a:avLst/>
        </a:prstGeom>
      </xdr:spPr>
    </xdr:pic>
    <xdr:clientData/>
  </xdr:twoCellAnchor>
  <xdr:twoCellAnchor editAs="absolute">
    <xdr:from>
      <xdr:col>1</xdr:col>
      <xdr:colOff>68610</xdr:colOff>
      <xdr:row>1</xdr:row>
      <xdr:rowOff>53092</xdr:rowOff>
    </xdr:from>
    <xdr:to>
      <xdr:col>1</xdr:col>
      <xdr:colOff>230610</xdr:colOff>
      <xdr:row>1</xdr:row>
      <xdr:rowOff>215092</xdr:rowOff>
    </xdr:to>
    <xdr:pic macro="[0]!KPI_Visible">
      <xdr:nvPicPr>
        <xdr:cNvPr id="89" name="HiddenKPI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0" y="234067"/>
          <a:ext cx="162000" cy="1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557846</xdr:colOff>
      <xdr:row>3</xdr:row>
      <xdr:rowOff>526089</xdr:rowOff>
    </xdr:from>
    <xdr:to>
      <xdr:col>1</xdr:col>
      <xdr:colOff>2285846</xdr:colOff>
      <xdr:row>3</xdr:row>
      <xdr:rowOff>688089</xdr:rowOff>
    </xdr:to>
    <xdr:sp macro="[0]!КнопкиFBT1" textlink="">
      <xdr:nvSpPr>
        <xdr:cNvPr id="90" name="FBT1"/>
        <xdr:cNvSpPr txBox="1"/>
      </xdr:nvSpPr>
      <xdr:spPr>
        <a:xfrm>
          <a:off x="576896" y="2926389"/>
          <a:ext cx="1728000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Фин.позиция</a:t>
          </a:r>
        </a:p>
      </xdr:txBody>
    </xdr:sp>
    <xdr:clientData/>
  </xdr:twoCellAnchor>
  <xdr:twoCellAnchor editAs="oneCell">
    <xdr:from>
      <xdr:col>2</xdr:col>
      <xdr:colOff>158163</xdr:colOff>
      <xdr:row>3</xdr:row>
      <xdr:rowOff>526089</xdr:rowOff>
    </xdr:from>
    <xdr:to>
      <xdr:col>4</xdr:col>
      <xdr:colOff>400387</xdr:colOff>
      <xdr:row>3</xdr:row>
      <xdr:rowOff>688089</xdr:rowOff>
    </xdr:to>
    <xdr:sp macro="[0]!КнопкиFBT2" textlink="">
      <xdr:nvSpPr>
        <xdr:cNvPr id="91" name="FBT2"/>
        <xdr:cNvSpPr txBox="1"/>
      </xdr:nvSpPr>
      <xdr:spPr>
        <a:xfrm>
          <a:off x="2558463" y="2926389"/>
          <a:ext cx="1728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АУР/КВ</a:t>
          </a:r>
        </a:p>
      </xdr:txBody>
    </xdr:sp>
    <xdr:clientData/>
  </xdr:twoCellAnchor>
  <xdr:twoCellAnchor editAs="oneCell">
    <xdr:from>
      <xdr:col>5</xdr:col>
      <xdr:colOff>6130</xdr:colOff>
      <xdr:row>3</xdr:row>
      <xdr:rowOff>526089</xdr:rowOff>
    </xdr:from>
    <xdr:to>
      <xdr:col>7</xdr:col>
      <xdr:colOff>438854</xdr:colOff>
      <xdr:row>3</xdr:row>
      <xdr:rowOff>688089</xdr:rowOff>
    </xdr:to>
    <xdr:sp macro="[0]!КнопкиFBT3" textlink="">
      <xdr:nvSpPr>
        <xdr:cNvPr id="92" name="FBT3"/>
        <xdr:cNvSpPr txBox="1"/>
      </xdr:nvSpPr>
      <xdr:spPr>
        <a:xfrm>
          <a:off x="4540030" y="2926389"/>
          <a:ext cx="1728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Управление</a:t>
          </a:r>
        </a:p>
      </xdr:txBody>
    </xdr:sp>
    <xdr:clientData/>
  </xdr:twoCellAnchor>
  <xdr:twoCellAnchor editAs="oneCell">
    <xdr:from>
      <xdr:col>8</xdr:col>
      <xdr:colOff>44597</xdr:colOff>
      <xdr:row>3</xdr:row>
      <xdr:rowOff>526089</xdr:rowOff>
    </xdr:from>
    <xdr:to>
      <xdr:col>10</xdr:col>
      <xdr:colOff>477197</xdr:colOff>
      <xdr:row>3</xdr:row>
      <xdr:rowOff>688089</xdr:rowOff>
    </xdr:to>
    <xdr:sp macro="[0]!КнопкиFBT4" textlink="">
      <xdr:nvSpPr>
        <xdr:cNvPr id="93" name="FBT4"/>
        <xdr:cNvSpPr txBox="1"/>
      </xdr:nvSpPr>
      <xdr:spPr>
        <a:xfrm>
          <a:off x="6521597" y="2926389"/>
          <a:ext cx="1728000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Гр.затрат</a:t>
          </a:r>
        </a:p>
      </xdr:txBody>
    </xdr:sp>
    <xdr:clientData/>
  </xdr:twoCellAnchor>
  <xdr:twoCellAnchor editAs="oneCell">
    <xdr:from>
      <xdr:col>11</xdr:col>
      <xdr:colOff>81633</xdr:colOff>
      <xdr:row>3</xdr:row>
      <xdr:rowOff>526089</xdr:rowOff>
    </xdr:from>
    <xdr:to>
      <xdr:col>13</xdr:col>
      <xdr:colOff>515664</xdr:colOff>
      <xdr:row>3</xdr:row>
      <xdr:rowOff>688089</xdr:rowOff>
    </xdr:to>
    <xdr:sp macro="[0]!КнопкиFBT5" textlink="">
      <xdr:nvSpPr>
        <xdr:cNvPr id="94" name="FBT5"/>
        <xdr:cNvSpPr txBox="1"/>
      </xdr:nvSpPr>
      <xdr:spPr>
        <a:xfrm>
          <a:off x="8501733" y="2926389"/>
          <a:ext cx="1729431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Подгр.затрат</a:t>
          </a:r>
        </a:p>
      </xdr:txBody>
    </xdr:sp>
    <xdr:clientData/>
  </xdr:twoCellAnchor>
  <xdr:twoCellAnchor editAs="oneCell">
    <xdr:from>
      <xdr:col>14</xdr:col>
      <xdr:colOff>120100</xdr:colOff>
      <xdr:row>3</xdr:row>
      <xdr:rowOff>526089</xdr:rowOff>
    </xdr:from>
    <xdr:to>
      <xdr:col>16</xdr:col>
      <xdr:colOff>547407</xdr:colOff>
      <xdr:row>3</xdr:row>
      <xdr:rowOff>688089</xdr:rowOff>
    </xdr:to>
    <xdr:sp macro="[0]!КнопкиFBT6" textlink="">
      <xdr:nvSpPr>
        <xdr:cNvPr id="95" name="FBT6"/>
        <xdr:cNvSpPr txBox="1"/>
      </xdr:nvSpPr>
      <xdr:spPr>
        <a:xfrm>
          <a:off x="10483300" y="2926389"/>
          <a:ext cx="1722707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MIR-</a:t>
          </a:r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код</a:t>
          </a:r>
        </a:p>
      </xdr:txBody>
    </xdr:sp>
    <xdr:clientData/>
  </xdr:twoCellAnchor>
  <xdr:twoCellAnchor editAs="oneCell">
    <xdr:from>
      <xdr:col>17</xdr:col>
      <xdr:colOff>151964</xdr:colOff>
      <xdr:row>3</xdr:row>
      <xdr:rowOff>526089</xdr:rowOff>
    </xdr:from>
    <xdr:to>
      <xdr:col>19</xdr:col>
      <xdr:colOff>585872</xdr:colOff>
      <xdr:row>3</xdr:row>
      <xdr:rowOff>688089</xdr:rowOff>
    </xdr:to>
    <xdr:sp macro="[0]!КнопкиFBT7" textlink="">
      <xdr:nvSpPr>
        <xdr:cNvPr id="96" name="FBT7"/>
        <xdr:cNvSpPr txBox="1"/>
      </xdr:nvSpPr>
      <xdr:spPr>
        <a:xfrm>
          <a:off x="12458264" y="2926389"/>
          <a:ext cx="1729308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ПФМ</a:t>
          </a:r>
        </a:p>
      </xdr:txBody>
    </xdr:sp>
    <xdr:clientData/>
  </xdr:twoCellAnchor>
  <xdr:twoCellAnchor editAs="oneCell">
    <xdr:from>
      <xdr:col>1</xdr:col>
      <xdr:colOff>2283125</xdr:colOff>
      <xdr:row>3</xdr:row>
      <xdr:rowOff>530851</xdr:rowOff>
    </xdr:from>
    <xdr:to>
      <xdr:col>1</xdr:col>
      <xdr:colOff>2283125</xdr:colOff>
      <xdr:row>3</xdr:row>
      <xdr:rowOff>926851</xdr:rowOff>
    </xdr:to>
    <xdr:cxnSp macro="">
      <xdr:nvCxnSpPr>
        <xdr:cNvPr id="97" name="Прямая соединительная линия 96"/>
        <xdr:cNvCxnSpPr/>
      </xdr:nvCxnSpPr>
      <xdr:spPr>
        <a:xfrm>
          <a:off x="2302175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395394</xdr:colOff>
      <xdr:row>3</xdr:row>
      <xdr:rowOff>530851</xdr:rowOff>
    </xdr:from>
    <xdr:to>
      <xdr:col>4</xdr:col>
      <xdr:colOff>395394</xdr:colOff>
      <xdr:row>3</xdr:row>
      <xdr:rowOff>926851</xdr:rowOff>
    </xdr:to>
    <xdr:cxnSp macro="">
      <xdr:nvCxnSpPr>
        <xdr:cNvPr id="98" name="Прямая соединительная линия 97"/>
        <xdr:cNvCxnSpPr/>
      </xdr:nvCxnSpPr>
      <xdr:spPr>
        <a:xfrm>
          <a:off x="4281594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431589</xdr:colOff>
      <xdr:row>3</xdr:row>
      <xdr:rowOff>530851</xdr:rowOff>
    </xdr:from>
    <xdr:to>
      <xdr:col>7</xdr:col>
      <xdr:colOff>431589</xdr:colOff>
      <xdr:row>3</xdr:row>
      <xdr:rowOff>926851</xdr:rowOff>
    </xdr:to>
    <xdr:cxnSp macro="">
      <xdr:nvCxnSpPr>
        <xdr:cNvPr id="99" name="Прямая соединительная линия 98"/>
        <xdr:cNvCxnSpPr/>
      </xdr:nvCxnSpPr>
      <xdr:spPr>
        <a:xfrm>
          <a:off x="6260889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467784</xdr:colOff>
      <xdr:row>3</xdr:row>
      <xdr:rowOff>530851</xdr:rowOff>
    </xdr:from>
    <xdr:to>
      <xdr:col>10</xdr:col>
      <xdr:colOff>467784</xdr:colOff>
      <xdr:row>3</xdr:row>
      <xdr:rowOff>926851</xdr:rowOff>
    </xdr:to>
    <xdr:cxnSp macro="">
      <xdr:nvCxnSpPr>
        <xdr:cNvPr id="100" name="Прямая соединительная линия 99"/>
        <xdr:cNvCxnSpPr/>
      </xdr:nvCxnSpPr>
      <xdr:spPr>
        <a:xfrm>
          <a:off x="8240184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503855</xdr:colOff>
      <xdr:row>3</xdr:row>
      <xdr:rowOff>530851</xdr:rowOff>
    </xdr:from>
    <xdr:to>
      <xdr:col>13</xdr:col>
      <xdr:colOff>503855</xdr:colOff>
      <xdr:row>3</xdr:row>
      <xdr:rowOff>926851</xdr:rowOff>
    </xdr:to>
    <xdr:cxnSp macro="">
      <xdr:nvCxnSpPr>
        <xdr:cNvPr id="101" name="Прямая соединительная линия 100"/>
        <xdr:cNvCxnSpPr/>
      </xdr:nvCxnSpPr>
      <xdr:spPr>
        <a:xfrm>
          <a:off x="10219355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533326</xdr:colOff>
      <xdr:row>3</xdr:row>
      <xdr:rowOff>530851</xdr:rowOff>
    </xdr:from>
    <xdr:to>
      <xdr:col>16</xdr:col>
      <xdr:colOff>533326</xdr:colOff>
      <xdr:row>3</xdr:row>
      <xdr:rowOff>926851</xdr:rowOff>
    </xdr:to>
    <xdr:cxnSp macro="">
      <xdr:nvCxnSpPr>
        <xdr:cNvPr id="102" name="Прямая соединительная линия 101"/>
        <xdr:cNvCxnSpPr/>
      </xdr:nvCxnSpPr>
      <xdr:spPr>
        <a:xfrm>
          <a:off x="12191926" y="2931151"/>
          <a:ext cx="0" cy="39600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357326</xdr:colOff>
      <xdr:row>3</xdr:row>
      <xdr:rowOff>530852</xdr:rowOff>
    </xdr:from>
    <xdr:to>
      <xdr:col>1</xdr:col>
      <xdr:colOff>501326</xdr:colOff>
      <xdr:row>3</xdr:row>
      <xdr:rowOff>674852</xdr:rowOff>
    </xdr:to>
    <xdr:sp macro="[0]!КнопкиFBTS1" textlink="">
      <xdr:nvSpPr>
        <xdr:cNvPr id="103" name="FBT1S"/>
        <xdr:cNvSpPr>
          <a:spLocks noChangeAspect="1"/>
        </xdr:cNvSpPr>
      </xdr:nvSpPr>
      <xdr:spPr>
        <a:xfrm>
          <a:off x="376376" y="293115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2339021</xdr:colOff>
      <xdr:row>3</xdr:row>
      <xdr:rowOff>530852</xdr:rowOff>
    </xdr:from>
    <xdr:to>
      <xdr:col>2</xdr:col>
      <xdr:colOff>101771</xdr:colOff>
      <xdr:row>3</xdr:row>
      <xdr:rowOff>674852</xdr:rowOff>
    </xdr:to>
    <xdr:sp macro="[0]!КнопкиFBTS2" textlink="">
      <xdr:nvSpPr>
        <xdr:cNvPr id="104" name="FBT2S"/>
        <xdr:cNvSpPr>
          <a:spLocks noChangeAspect="1"/>
        </xdr:cNvSpPr>
      </xdr:nvSpPr>
      <xdr:spPr>
        <a:xfrm>
          <a:off x="2358071" y="293115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453195</xdr:colOff>
      <xdr:row>3</xdr:row>
      <xdr:rowOff>530852</xdr:rowOff>
    </xdr:from>
    <xdr:to>
      <xdr:col>4</xdr:col>
      <xdr:colOff>597071</xdr:colOff>
      <xdr:row>3</xdr:row>
      <xdr:rowOff>674852</xdr:rowOff>
    </xdr:to>
    <xdr:sp macro="[0]!КнопкиFBTS3" textlink="">
      <xdr:nvSpPr>
        <xdr:cNvPr id="105" name="FBT3S"/>
        <xdr:cNvSpPr>
          <a:spLocks noChangeAspect="1"/>
        </xdr:cNvSpPr>
      </xdr:nvSpPr>
      <xdr:spPr>
        <a:xfrm>
          <a:off x="4339395" y="293115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491295</xdr:colOff>
      <xdr:row>3</xdr:row>
      <xdr:rowOff>530852</xdr:rowOff>
    </xdr:from>
    <xdr:to>
      <xdr:col>7</xdr:col>
      <xdr:colOff>635171</xdr:colOff>
      <xdr:row>3</xdr:row>
      <xdr:rowOff>674852</xdr:rowOff>
    </xdr:to>
    <xdr:sp macro="[0]!КнопкиFBTS4" textlink="">
      <xdr:nvSpPr>
        <xdr:cNvPr id="106" name="FBT4S"/>
        <xdr:cNvSpPr>
          <a:spLocks noChangeAspect="1"/>
        </xdr:cNvSpPr>
      </xdr:nvSpPr>
      <xdr:spPr>
        <a:xfrm>
          <a:off x="6320595" y="293115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529271</xdr:colOff>
      <xdr:row>3</xdr:row>
      <xdr:rowOff>530852</xdr:rowOff>
    </xdr:from>
    <xdr:to>
      <xdr:col>11</xdr:col>
      <xdr:colOff>25571</xdr:colOff>
      <xdr:row>3</xdr:row>
      <xdr:rowOff>674852</xdr:rowOff>
    </xdr:to>
    <xdr:sp macro="[0]!КнопкиFBTS5" textlink="">
      <xdr:nvSpPr>
        <xdr:cNvPr id="107" name="FBT5S"/>
        <xdr:cNvSpPr>
          <a:spLocks noChangeAspect="1"/>
        </xdr:cNvSpPr>
      </xdr:nvSpPr>
      <xdr:spPr>
        <a:xfrm>
          <a:off x="8301671" y="293115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567371</xdr:colOff>
      <xdr:row>3</xdr:row>
      <xdr:rowOff>530852</xdr:rowOff>
    </xdr:from>
    <xdr:to>
      <xdr:col>14</xdr:col>
      <xdr:colOff>62240</xdr:colOff>
      <xdr:row>3</xdr:row>
      <xdr:rowOff>674852</xdr:rowOff>
    </xdr:to>
    <xdr:sp macro="[0]!КнопкиFBTS6" textlink="">
      <xdr:nvSpPr>
        <xdr:cNvPr id="108" name="FBT6S"/>
        <xdr:cNvSpPr>
          <a:spLocks noChangeAspect="1"/>
        </xdr:cNvSpPr>
      </xdr:nvSpPr>
      <xdr:spPr>
        <a:xfrm>
          <a:off x="10282871" y="2931152"/>
          <a:ext cx="142569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16</xdr:col>
      <xdr:colOff>598747</xdr:colOff>
      <xdr:row>3</xdr:row>
      <xdr:rowOff>530852</xdr:rowOff>
    </xdr:from>
    <xdr:to>
      <xdr:col>17</xdr:col>
      <xdr:colOff>95857</xdr:colOff>
      <xdr:row>3</xdr:row>
      <xdr:rowOff>674852</xdr:rowOff>
    </xdr:to>
    <xdr:sp macro="[0]!КнопкиFBTS7" textlink="">
      <xdr:nvSpPr>
        <xdr:cNvPr id="109" name="FBT7S"/>
        <xdr:cNvSpPr>
          <a:spLocks noChangeAspect="1"/>
        </xdr:cNvSpPr>
      </xdr:nvSpPr>
      <xdr:spPr>
        <a:xfrm>
          <a:off x="12257347" y="2931152"/>
          <a:ext cx="14481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557846</xdr:colOff>
      <xdr:row>3</xdr:row>
      <xdr:rowOff>773739</xdr:rowOff>
    </xdr:from>
    <xdr:to>
      <xdr:col>1</xdr:col>
      <xdr:colOff>2249846</xdr:colOff>
      <xdr:row>3</xdr:row>
      <xdr:rowOff>935739</xdr:rowOff>
    </xdr:to>
    <xdr:sp macro="[0]!КнопкиFBT8" textlink="">
      <xdr:nvSpPr>
        <xdr:cNvPr id="110" name="FBT8"/>
        <xdr:cNvSpPr txBox="1"/>
      </xdr:nvSpPr>
      <xdr:spPr>
        <a:xfrm>
          <a:off x="576896" y="3174039"/>
          <a:ext cx="1692000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ГО/Филилалы</a:t>
          </a:r>
        </a:p>
      </xdr:txBody>
    </xdr:sp>
    <xdr:clientData/>
  </xdr:twoCellAnchor>
  <xdr:twoCellAnchor editAs="oneCell">
    <xdr:from>
      <xdr:col>2</xdr:col>
      <xdr:colOff>158480</xdr:colOff>
      <xdr:row>3</xdr:row>
      <xdr:rowOff>773739</xdr:rowOff>
    </xdr:from>
    <xdr:to>
      <xdr:col>4</xdr:col>
      <xdr:colOff>364704</xdr:colOff>
      <xdr:row>3</xdr:row>
      <xdr:rowOff>935739</xdr:rowOff>
    </xdr:to>
    <xdr:sp macro="[0]!КнопкиFBT9" textlink="">
      <xdr:nvSpPr>
        <xdr:cNvPr id="111" name="FBT9"/>
        <xdr:cNvSpPr txBox="1"/>
      </xdr:nvSpPr>
      <xdr:spPr>
        <a:xfrm>
          <a:off x="2558780" y="3174039"/>
          <a:ext cx="1692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Филиал</a:t>
          </a:r>
        </a:p>
      </xdr:txBody>
    </xdr:sp>
    <xdr:clientData/>
  </xdr:twoCellAnchor>
  <xdr:twoCellAnchor editAs="oneCell">
    <xdr:from>
      <xdr:col>5</xdr:col>
      <xdr:colOff>6764</xdr:colOff>
      <xdr:row>3</xdr:row>
      <xdr:rowOff>773739</xdr:rowOff>
    </xdr:from>
    <xdr:to>
      <xdr:col>7</xdr:col>
      <xdr:colOff>403488</xdr:colOff>
      <xdr:row>3</xdr:row>
      <xdr:rowOff>935739</xdr:rowOff>
    </xdr:to>
    <xdr:sp macro="[0]!КнопкиFBT10" textlink="">
      <xdr:nvSpPr>
        <xdr:cNvPr id="112" name="FBT10"/>
        <xdr:cNvSpPr txBox="1"/>
      </xdr:nvSpPr>
      <xdr:spPr>
        <a:xfrm>
          <a:off x="4540664" y="3174039"/>
          <a:ext cx="1692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Регион</a:t>
          </a:r>
        </a:p>
      </xdr:txBody>
    </xdr:sp>
    <xdr:clientData/>
  </xdr:twoCellAnchor>
  <xdr:twoCellAnchor editAs="oneCell">
    <xdr:from>
      <xdr:col>8</xdr:col>
      <xdr:colOff>45548</xdr:colOff>
      <xdr:row>3</xdr:row>
      <xdr:rowOff>773739</xdr:rowOff>
    </xdr:from>
    <xdr:to>
      <xdr:col>10</xdr:col>
      <xdr:colOff>442272</xdr:colOff>
      <xdr:row>3</xdr:row>
      <xdr:rowOff>935739</xdr:rowOff>
    </xdr:to>
    <xdr:sp macro="[0]!КнопкиFBT11" textlink="">
      <xdr:nvSpPr>
        <xdr:cNvPr id="113" name="FBT11"/>
        <xdr:cNvSpPr txBox="1"/>
      </xdr:nvSpPr>
      <xdr:spPr>
        <a:xfrm>
          <a:off x="6522548" y="3174039"/>
          <a:ext cx="1692124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Тип сети</a:t>
          </a:r>
        </a:p>
      </xdr:txBody>
    </xdr:sp>
    <xdr:clientData/>
  </xdr:twoCellAnchor>
  <xdr:twoCellAnchor editAs="oneCell">
    <xdr:from>
      <xdr:col>11</xdr:col>
      <xdr:colOff>82901</xdr:colOff>
      <xdr:row>3</xdr:row>
      <xdr:rowOff>773739</xdr:rowOff>
    </xdr:from>
    <xdr:to>
      <xdr:col>13</xdr:col>
      <xdr:colOff>480932</xdr:colOff>
      <xdr:row>3</xdr:row>
      <xdr:rowOff>935739</xdr:rowOff>
    </xdr:to>
    <xdr:sp macro="[0]!КнопкиFBT12" textlink="">
      <xdr:nvSpPr>
        <xdr:cNvPr id="114" name="FBT12"/>
        <xdr:cNvSpPr txBox="1"/>
      </xdr:nvSpPr>
      <xdr:spPr>
        <a:xfrm>
          <a:off x="8503001" y="3174039"/>
          <a:ext cx="1693431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Прогр.бюдж</a:t>
          </a:r>
        </a:p>
      </xdr:txBody>
    </xdr:sp>
    <xdr:clientData/>
  </xdr:twoCellAnchor>
  <xdr:twoCellAnchor editAs="oneCell">
    <xdr:from>
      <xdr:col>14</xdr:col>
      <xdr:colOff>121685</xdr:colOff>
      <xdr:row>3</xdr:row>
      <xdr:rowOff>773739</xdr:rowOff>
    </xdr:from>
    <xdr:to>
      <xdr:col>16</xdr:col>
      <xdr:colOff>512992</xdr:colOff>
      <xdr:row>3</xdr:row>
      <xdr:rowOff>935739</xdr:rowOff>
    </xdr:to>
    <xdr:sp macro="[0]!КнопкиFBT13" textlink="">
      <xdr:nvSpPr>
        <xdr:cNvPr id="115" name="FBT13"/>
        <xdr:cNvSpPr txBox="1"/>
      </xdr:nvSpPr>
      <xdr:spPr>
        <a:xfrm>
          <a:off x="10484885" y="3174039"/>
          <a:ext cx="1686707" cy="1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chemeClr val="bg1"/>
              </a:solidFill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Напр.затрат: Текущая деятел..</a:t>
          </a:r>
        </a:p>
      </xdr:txBody>
    </xdr:sp>
    <xdr:clientData/>
  </xdr:twoCellAnchor>
  <xdr:twoCellAnchor editAs="oneCell">
    <xdr:from>
      <xdr:col>1</xdr:col>
      <xdr:colOff>357326</xdr:colOff>
      <xdr:row>3</xdr:row>
      <xdr:rowOff>778502</xdr:rowOff>
    </xdr:from>
    <xdr:to>
      <xdr:col>1</xdr:col>
      <xdr:colOff>501326</xdr:colOff>
      <xdr:row>3</xdr:row>
      <xdr:rowOff>922502</xdr:rowOff>
    </xdr:to>
    <xdr:sp macro="[0]!КнопкиFBTS8" textlink="">
      <xdr:nvSpPr>
        <xdr:cNvPr id="116" name="FBT8S"/>
        <xdr:cNvSpPr>
          <a:spLocks noChangeAspect="1"/>
        </xdr:cNvSpPr>
      </xdr:nvSpPr>
      <xdr:spPr>
        <a:xfrm>
          <a:off x="376376" y="317880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2339339</xdr:colOff>
      <xdr:row>3</xdr:row>
      <xdr:rowOff>778502</xdr:rowOff>
    </xdr:from>
    <xdr:to>
      <xdr:col>2</xdr:col>
      <xdr:colOff>102089</xdr:colOff>
      <xdr:row>3</xdr:row>
      <xdr:rowOff>922502</xdr:rowOff>
    </xdr:to>
    <xdr:sp macro="[0]!КнопкиFBTS9" textlink="">
      <xdr:nvSpPr>
        <xdr:cNvPr id="117" name="FBT9S"/>
        <xdr:cNvSpPr>
          <a:spLocks noChangeAspect="1"/>
        </xdr:cNvSpPr>
      </xdr:nvSpPr>
      <xdr:spPr>
        <a:xfrm>
          <a:off x="2358389" y="317880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453831</xdr:colOff>
      <xdr:row>3</xdr:row>
      <xdr:rowOff>778502</xdr:rowOff>
    </xdr:from>
    <xdr:to>
      <xdr:col>4</xdr:col>
      <xdr:colOff>597707</xdr:colOff>
      <xdr:row>3</xdr:row>
      <xdr:rowOff>922502</xdr:rowOff>
    </xdr:to>
    <xdr:sp macro="[0]!КнопкиFBTS10" textlink="">
      <xdr:nvSpPr>
        <xdr:cNvPr id="118" name="FBT10S"/>
        <xdr:cNvSpPr>
          <a:spLocks noChangeAspect="1"/>
        </xdr:cNvSpPr>
      </xdr:nvSpPr>
      <xdr:spPr>
        <a:xfrm>
          <a:off x="4340031" y="317880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492249</xdr:colOff>
      <xdr:row>3</xdr:row>
      <xdr:rowOff>778502</xdr:rowOff>
    </xdr:from>
    <xdr:to>
      <xdr:col>7</xdr:col>
      <xdr:colOff>636125</xdr:colOff>
      <xdr:row>3</xdr:row>
      <xdr:rowOff>922502</xdr:rowOff>
    </xdr:to>
    <xdr:sp macro="[0]!КнопкиFBTS11" textlink="">
      <xdr:nvSpPr>
        <xdr:cNvPr id="119" name="FBT11S"/>
        <xdr:cNvSpPr>
          <a:spLocks noChangeAspect="1"/>
        </xdr:cNvSpPr>
      </xdr:nvSpPr>
      <xdr:spPr>
        <a:xfrm>
          <a:off x="6321549" y="3178802"/>
          <a:ext cx="143876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530543</xdr:colOff>
      <xdr:row>3</xdr:row>
      <xdr:rowOff>778502</xdr:rowOff>
    </xdr:from>
    <xdr:to>
      <xdr:col>11</xdr:col>
      <xdr:colOff>26843</xdr:colOff>
      <xdr:row>3</xdr:row>
      <xdr:rowOff>922502</xdr:rowOff>
    </xdr:to>
    <xdr:sp macro="[0]!КнопкиFBTS12" textlink="">
      <xdr:nvSpPr>
        <xdr:cNvPr id="120" name="FBT12S"/>
        <xdr:cNvSpPr>
          <a:spLocks noChangeAspect="1"/>
        </xdr:cNvSpPr>
      </xdr:nvSpPr>
      <xdr:spPr>
        <a:xfrm>
          <a:off x="8302943" y="3178802"/>
          <a:ext cx="144000" cy="144000"/>
        </a:xfrm>
        <a:prstGeom prst="ellipse">
          <a:avLst/>
        </a:prstGeom>
        <a:noFill/>
        <a:ln w="9525" cap="flat" cmpd="sng" algn="ctr">
          <a:solidFill>
            <a:schemeClr val="bg1">
              <a:alpha val="5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endParaRPr lang="en-US" sz="800" b="0" i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568961</xdr:colOff>
      <xdr:row>3</xdr:row>
      <xdr:rowOff>778502</xdr:rowOff>
    </xdr:from>
    <xdr:to>
      <xdr:col>14</xdr:col>
      <xdr:colOff>63830</xdr:colOff>
      <xdr:row>3</xdr:row>
      <xdr:rowOff>922502</xdr:rowOff>
    </xdr:to>
    <xdr:sp macro="[0]!КнопкиFBTS13" textlink="">
      <xdr:nvSpPr>
        <xdr:cNvPr id="121" name="FBT13S"/>
        <xdr:cNvSpPr>
          <a:spLocks noChangeAspect="1"/>
        </xdr:cNvSpPr>
      </xdr:nvSpPr>
      <xdr:spPr>
        <a:xfrm>
          <a:off x="10284461" y="3178802"/>
          <a:ext cx="142569" cy="144000"/>
        </a:xfrm>
        <a:prstGeom prst="ellipse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" tIns="14400" rIns="0" bIns="0" rtlCol="0" anchor="ctr"/>
        <a:lstStyle/>
        <a:p>
          <a:pPr algn="ctr"/>
          <a:r>
            <a:rPr lang="en-US" sz="800" b="0" i="0">
              <a:solidFill>
                <a:schemeClr val="bg1"/>
              </a:solidFill>
            </a:rPr>
            <a:t>1</a:t>
          </a:r>
        </a:p>
      </xdr:txBody>
    </xdr:sp>
    <xdr:clientData/>
  </xdr:twoCellAnchor>
  <xdr:twoCellAnchor editAs="oneCell">
    <xdr:from>
      <xdr:col>1</xdr:col>
      <xdr:colOff>905752</xdr:colOff>
      <xdr:row>4</xdr:row>
      <xdr:rowOff>38100</xdr:rowOff>
    </xdr:from>
    <xdr:to>
      <xdr:col>1</xdr:col>
      <xdr:colOff>1049752</xdr:colOff>
      <xdr:row>4</xdr:row>
      <xdr:rowOff>182100</xdr:rowOff>
    </xdr:to>
    <xdr:pic macro="[0]!Настройка_выгрузки">
      <xdr:nvPicPr>
        <xdr:cNvPr id="122" name="UploadAll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802" y="3343275"/>
          <a:ext cx="144000" cy="144000"/>
        </a:xfrm>
        <a:prstGeom prst="rect">
          <a:avLst/>
        </a:prstGeom>
      </xdr:spPr>
    </xdr:pic>
    <xdr:clientData/>
  </xdr:twoCellAnchor>
  <xdr:twoCellAnchor editAs="absolute">
    <xdr:from>
      <xdr:col>19</xdr:col>
      <xdr:colOff>98551</xdr:colOff>
      <xdr:row>0</xdr:row>
      <xdr:rowOff>19050</xdr:rowOff>
    </xdr:from>
    <xdr:to>
      <xdr:col>19</xdr:col>
      <xdr:colOff>250951</xdr:colOff>
      <xdr:row>0</xdr:row>
      <xdr:rowOff>171450</xdr:rowOff>
    </xdr:to>
    <xdr:pic macro="[0]!ResetToDefault">
      <xdr:nvPicPr>
        <xdr:cNvPr id="123" name="ResetToDefault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0251" y="190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</xdr:col>
      <xdr:colOff>87049</xdr:colOff>
      <xdr:row>4</xdr:row>
      <xdr:rowOff>34362</xdr:rowOff>
    </xdr:from>
    <xdr:to>
      <xdr:col>1</xdr:col>
      <xdr:colOff>231114</xdr:colOff>
      <xdr:row>4</xdr:row>
      <xdr:rowOff>178427</xdr:rowOff>
    </xdr:to>
    <xdr:pic macro="[0]!GroupUngroupCategories">
      <xdr:nvPicPr>
        <xdr:cNvPr id="124" name="HideUnhide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99" y="3339537"/>
          <a:ext cx="144065" cy="144065"/>
        </a:xfrm>
        <a:prstGeom prst="rect">
          <a:avLst/>
        </a:prstGeom>
      </xdr:spPr>
    </xdr:pic>
    <xdr:clientData/>
  </xdr:twoCellAnchor>
  <xdr:twoCellAnchor editAs="oneCell">
    <xdr:from>
      <xdr:col>1</xdr:col>
      <xdr:colOff>636422</xdr:colOff>
      <xdr:row>4</xdr:row>
      <xdr:rowOff>35552</xdr:rowOff>
    </xdr:from>
    <xdr:to>
      <xdr:col>1</xdr:col>
      <xdr:colOff>779297</xdr:colOff>
      <xdr:row>4</xdr:row>
      <xdr:rowOff>178427</xdr:rowOff>
    </xdr:to>
    <xdr:pic macro="[0]!RefreshData">
      <xdr:nvPicPr>
        <xdr:cNvPr id="125" name="Рисунок 124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472" y="334072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1</xdr:col>
      <xdr:colOff>357568</xdr:colOff>
      <xdr:row>4</xdr:row>
      <xdr:rowOff>35552</xdr:rowOff>
    </xdr:from>
    <xdr:to>
      <xdr:col>1</xdr:col>
      <xdr:colOff>509968</xdr:colOff>
      <xdr:row>4</xdr:row>
      <xdr:rowOff>187952</xdr:rowOff>
    </xdr:to>
    <xdr:pic macro="[0]!Настройка_вида">
      <xdr:nvPicPr>
        <xdr:cNvPr id="126" name="Рисунок 125"/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618" y="3340727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19</xdr:col>
      <xdr:colOff>370148</xdr:colOff>
      <xdr:row>0</xdr:row>
      <xdr:rowOff>19050</xdr:rowOff>
    </xdr:from>
    <xdr:to>
      <xdr:col>19</xdr:col>
      <xdr:colOff>522548</xdr:colOff>
      <xdr:row>0</xdr:row>
      <xdr:rowOff>171450</xdr:rowOff>
    </xdr:to>
    <xdr:pic macro="[0]!ПанельПомощи">
      <xdr:nvPicPr>
        <xdr:cNvPr id="127" name="Рисунок 126"/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1848" y="190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</xdr:col>
      <xdr:colOff>63579</xdr:colOff>
      <xdr:row>3</xdr:row>
      <xdr:rowOff>535884</xdr:rowOff>
    </xdr:from>
    <xdr:to>
      <xdr:col>1</xdr:col>
      <xdr:colOff>215979</xdr:colOff>
      <xdr:row>3</xdr:row>
      <xdr:rowOff>688284</xdr:rowOff>
    </xdr:to>
    <xdr:pic macro="[0]!ClearAllFilters">
      <xdr:nvPicPr>
        <xdr:cNvPr id="129" name="Рисунок 128"/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BEBA8EAE-BF5A-486C-A8C5-ECC9F3942E4B}">
              <a14:imgProps xmlns:a14="http://schemas.microsoft.com/office/drawing/2010/main">
                <a14:imgLayer r:embed="rId2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29" y="2936184"/>
          <a:ext cx="152400" cy="15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49779</xdr:colOff>
      <xdr:row>3</xdr:row>
      <xdr:rowOff>260064</xdr:rowOff>
    </xdr:from>
    <xdr:to>
      <xdr:col>1</xdr:col>
      <xdr:colOff>229779</xdr:colOff>
      <xdr:row>3</xdr:row>
      <xdr:rowOff>440064</xdr:rowOff>
    </xdr:to>
    <xdr:sp macro="[0]!chbYTD_switch" textlink="">
      <xdr:nvSpPr>
        <xdr:cNvPr id="130" name="Period_YTD_Btn"/>
        <xdr:cNvSpPr/>
      </xdr:nvSpPr>
      <xdr:spPr>
        <a:xfrm>
          <a:off x="68829" y="2593689"/>
          <a:ext cx="180000" cy="180000"/>
        </a:xfrm>
        <a:prstGeom prst="roundRect">
          <a:avLst>
            <a:gd name="adj" fmla="val 15537"/>
          </a:avLst>
        </a:prstGeom>
        <a:solidFill>
          <a:srgbClr val="7F7F7F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chemeClr val="bg1"/>
              </a:solidFill>
            </a:rPr>
            <a:t>YTD</a:t>
          </a:r>
          <a:endParaRPr lang="ru-RU" sz="75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49779</xdr:colOff>
      <xdr:row>3</xdr:row>
      <xdr:rowOff>40989</xdr:rowOff>
    </xdr:from>
    <xdr:to>
      <xdr:col>1</xdr:col>
      <xdr:colOff>229779</xdr:colOff>
      <xdr:row>3</xdr:row>
      <xdr:rowOff>220989</xdr:rowOff>
    </xdr:to>
    <xdr:sp macro="[0]!chbMulti_switch" textlink="">
      <xdr:nvSpPr>
        <xdr:cNvPr id="131" name="Period_Multi_Btn"/>
        <xdr:cNvSpPr/>
      </xdr:nvSpPr>
      <xdr:spPr>
        <a:xfrm>
          <a:off x="68829" y="2374614"/>
          <a:ext cx="180000" cy="180000"/>
        </a:xfrm>
        <a:prstGeom prst="roundRect">
          <a:avLst>
            <a:gd name="adj" fmla="val 15537"/>
          </a:avLst>
        </a:prstGeom>
        <a:solidFill>
          <a:srgbClr val="7F7F7F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chemeClr val="bg1"/>
              </a:solidFill>
            </a:rPr>
            <a:t>&gt;1</a:t>
          </a:r>
          <a:endParaRPr lang="ru-RU" sz="8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19</xdr:col>
      <xdr:colOff>265496</xdr:colOff>
      <xdr:row>1</xdr:row>
      <xdr:rowOff>54603</xdr:rowOff>
    </xdr:from>
    <xdr:to>
      <xdr:col>19</xdr:col>
      <xdr:colOff>627323</xdr:colOff>
      <xdr:row>1</xdr:row>
      <xdr:rowOff>198603</xdr:rowOff>
    </xdr:to>
    <xdr:sp macro="[0]!пустой" textlink="">
      <xdr:nvSpPr>
        <xdr:cNvPr id="132" name="KPI_Text_Status"/>
        <xdr:cNvSpPr/>
      </xdr:nvSpPr>
      <xdr:spPr>
        <a:xfrm>
          <a:off x="13867196" y="235578"/>
          <a:ext cx="361827" cy="144000"/>
        </a:xfrm>
        <a:prstGeom prst="roundRect">
          <a:avLst/>
        </a:prstGeom>
        <a:noFill/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0">
              <a:solidFill>
                <a:srgbClr val="002882"/>
              </a:solidFill>
            </a:rPr>
            <a:t>4Q'21</a:t>
          </a:r>
          <a:endParaRPr lang="ru-RU" sz="900" b="0">
            <a:solidFill>
              <a:srgbClr val="002882"/>
            </a:solidFill>
          </a:endParaRPr>
        </a:p>
      </xdr:txBody>
    </xdr:sp>
    <xdr:clientData/>
  </xdr:twoCellAnchor>
  <xdr:twoCellAnchor editAs="oneCell">
    <xdr:from>
      <xdr:col>17</xdr:col>
      <xdr:colOff>495298</xdr:colOff>
      <xdr:row>2</xdr:row>
      <xdr:rowOff>45078</xdr:rowOff>
    </xdr:from>
    <xdr:to>
      <xdr:col>19</xdr:col>
      <xdr:colOff>639898</xdr:colOff>
      <xdr:row>2</xdr:row>
      <xdr:rowOff>477078</xdr:rowOff>
    </xdr:to>
    <xdr:sp macro="" textlink="">
      <xdr:nvSpPr>
        <xdr:cNvPr id="133" name="TabV_Ind_1_T"/>
        <xdr:cNvSpPr/>
      </xdr:nvSpPr>
      <xdr:spPr>
        <a:xfrm>
          <a:off x="12801598" y="883278"/>
          <a:ext cx="1440000" cy="432000"/>
        </a:xfrm>
        <a:prstGeom prst="roundRect">
          <a:avLst>
            <a:gd name="adj" fmla="val 9107"/>
          </a:avLst>
        </a:prstGeom>
        <a:solidFill>
          <a:schemeClr val="bg1">
            <a:lumMod val="95000"/>
          </a:schemeClr>
        </a:solidFill>
        <a:ln w="9525">
          <a:solidFill>
            <a:srgbClr val="0028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xdr:twoCellAnchor editAs="oneCell">
    <xdr:from>
      <xdr:col>17</xdr:col>
      <xdr:colOff>560647</xdr:colOff>
      <xdr:row>2</xdr:row>
      <xdr:rowOff>330827</xdr:rowOff>
    </xdr:from>
    <xdr:to>
      <xdr:col>19</xdr:col>
      <xdr:colOff>167280</xdr:colOff>
      <xdr:row>2</xdr:row>
      <xdr:rowOff>464177</xdr:rowOff>
    </xdr:to>
    <xdr:sp macro="" textlink="">
      <xdr:nvSpPr>
        <xdr:cNvPr id="134" name="TabV_Ind_1_P"/>
        <xdr:cNvSpPr txBox="1"/>
      </xdr:nvSpPr>
      <xdr:spPr>
        <a:xfrm>
          <a:off x="12866947" y="1169027"/>
          <a:ext cx="902033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9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+0,0%</a:t>
          </a:r>
        </a:p>
      </xdr:txBody>
    </xdr:sp>
    <xdr:clientData fLocksWithSheet="0" fPrintsWithSheet="0"/>
  </xdr:twoCellAnchor>
  <xdr:twoCellAnchor editAs="oneCell">
    <xdr:from>
      <xdr:col>17</xdr:col>
      <xdr:colOff>495298</xdr:colOff>
      <xdr:row>2</xdr:row>
      <xdr:rowOff>540378</xdr:rowOff>
    </xdr:from>
    <xdr:to>
      <xdr:col>19</xdr:col>
      <xdr:colOff>639898</xdr:colOff>
      <xdr:row>2</xdr:row>
      <xdr:rowOff>972378</xdr:rowOff>
    </xdr:to>
    <xdr:sp macro="" textlink="">
      <xdr:nvSpPr>
        <xdr:cNvPr id="135" name="TabV_Ind_2_T"/>
        <xdr:cNvSpPr/>
      </xdr:nvSpPr>
      <xdr:spPr>
        <a:xfrm>
          <a:off x="12801598" y="1378578"/>
          <a:ext cx="1440000" cy="432000"/>
        </a:xfrm>
        <a:prstGeom prst="roundRect">
          <a:avLst>
            <a:gd name="adj" fmla="val 10367"/>
          </a:avLst>
        </a:prstGeom>
        <a:solidFill>
          <a:schemeClr val="bg1">
            <a:lumMod val="95000"/>
          </a:schemeClr>
        </a:solidFill>
        <a:ln w="9525">
          <a:solidFill>
            <a:srgbClr val="0028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bg1">
                <a:lumMod val="8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17</xdr:col>
      <xdr:colOff>560647</xdr:colOff>
      <xdr:row>2</xdr:row>
      <xdr:rowOff>826127</xdr:rowOff>
    </xdr:from>
    <xdr:to>
      <xdr:col>19</xdr:col>
      <xdr:colOff>167280</xdr:colOff>
      <xdr:row>2</xdr:row>
      <xdr:rowOff>959477</xdr:rowOff>
    </xdr:to>
    <xdr:sp macro="" textlink="">
      <xdr:nvSpPr>
        <xdr:cNvPr id="136" name="TabV_Ind_2_P"/>
        <xdr:cNvSpPr txBox="1"/>
      </xdr:nvSpPr>
      <xdr:spPr>
        <a:xfrm>
          <a:off x="12866947" y="1664327"/>
          <a:ext cx="902033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9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+0,0%</a:t>
          </a:r>
          <a:endParaRPr lang="ru-RU" sz="900" b="0">
            <a:solidFill>
              <a:srgbClr val="002882"/>
            </a:solidFill>
            <a:effectLst/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17</xdr:col>
      <xdr:colOff>495298</xdr:colOff>
      <xdr:row>2</xdr:row>
      <xdr:rowOff>1035678</xdr:rowOff>
    </xdr:from>
    <xdr:to>
      <xdr:col>19</xdr:col>
      <xdr:colOff>639898</xdr:colOff>
      <xdr:row>2</xdr:row>
      <xdr:rowOff>1467678</xdr:rowOff>
    </xdr:to>
    <xdr:sp macro="" textlink="">
      <xdr:nvSpPr>
        <xdr:cNvPr id="137" name="TabV_Ind_3_T"/>
        <xdr:cNvSpPr/>
      </xdr:nvSpPr>
      <xdr:spPr>
        <a:xfrm>
          <a:off x="12801598" y="1873878"/>
          <a:ext cx="1440000" cy="432000"/>
        </a:xfrm>
        <a:prstGeom prst="roundRect">
          <a:avLst>
            <a:gd name="adj" fmla="val 9107"/>
          </a:avLst>
        </a:prstGeom>
        <a:solidFill>
          <a:schemeClr val="bg1">
            <a:lumMod val="95000"/>
          </a:schemeClr>
        </a:solidFill>
        <a:ln w="9525">
          <a:solidFill>
            <a:srgbClr val="0028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17</xdr:col>
      <xdr:colOff>560647</xdr:colOff>
      <xdr:row>2</xdr:row>
      <xdr:rowOff>1321427</xdr:rowOff>
    </xdr:from>
    <xdr:to>
      <xdr:col>19</xdr:col>
      <xdr:colOff>167280</xdr:colOff>
      <xdr:row>2</xdr:row>
      <xdr:rowOff>1454777</xdr:rowOff>
    </xdr:to>
    <xdr:sp macro="" textlink="">
      <xdr:nvSpPr>
        <xdr:cNvPr id="138" name="TabV_Ind_3_P"/>
        <xdr:cNvSpPr txBox="1"/>
      </xdr:nvSpPr>
      <xdr:spPr>
        <a:xfrm>
          <a:off x="12866947" y="2159627"/>
          <a:ext cx="902033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en-US" sz="9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+0,0%</a:t>
          </a:r>
          <a:endParaRPr lang="ru-RU" sz="900" b="0">
            <a:solidFill>
              <a:srgbClr val="002882"/>
            </a:solidFill>
            <a:effectLst/>
            <a:latin typeface="+mn-lt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 fPrintsWithSheet="0"/>
  </xdr:twoCellAnchor>
  <xdr:twoCellAnchor editAs="oneCell">
    <xdr:from>
      <xdr:col>17</xdr:col>
      <xdr:colOff>548319</xdr:colOff>
      <xdr:row>2</xdr:row>
      <xdr:rowOff>122252</xdr:rowOff>
    </xdr:from>
    <xdr:to>
      <xdr:col>18</xdr:col>
      <xdr:colOff>80619</xdr:colOff>
      <xdr:row>2</xdr:row>
      <xdr:rowOff>302252</xdr:rowOff>
    </xdr:to>
    <xdr:sp macro="" textlink="">
      <xdr:nvSpPr>
        <xdr:cNvPr id="139" name="TabV_Ind_1_Arrow"/>
        <xdr:cNvSpPr/>
      </xdr:nvSpPr>
      <xdr:spPr>
        <a:xfrm rot="10800000" flipV="1">
          <a:off x="12854619" y="931877"/>
          <a:ext cx="180000" cy="180000"/>
        </a:xfrm>
        <a:prstGeom prst="downArrow">
          <a:avLst>
            <a:gd name="adj1" fmla="val 35401"/>
            <a:gd name="adj2" fmla="val 53650"/>
          </a:avLst>
        </a:prstGeom>
        <a:solidFill>
          <a:srgbClr val="00B050"/>
        </a:solidFill>
        <a:ln w="12700">
          <a:solidFill>
            <a:srgbClr val="00288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LocksWithSheet="0" fPrintsWithSheet="0"/>
  </xdr:twoCellAnchor>
  <xdr:twoCellAnchor editAs="oneCell">
    <xdr:from>
      <xdr:col>18</xdr:col>
      <xdr:colOff>514349</xdr:colOff>
      <xdr:row>2</xdr:row>
      <xdr:rowOff>292726</xdr:rowOff>
    </xdr:from>
    <xdr:to>
      <xdr:col>19</xdr:col>
      <xdr:colOff>622649</xdr:colOff>
      <xdr:row>2</xdr:row>
      <xdr:rowOff>472726</xdr:rowOff>
    </xdr:to>
    <xdr:sp macro="" textlink="">
      <xdr:nvSpPr>
        <xdr:cNvPr id="140" name="TabV_Ind_1_Name"/>
        <xdr:cNvSpPr txBox="1"/>
      </xdr:nvSpPr>
      <xdr:spPr>
        <a:xfrm>
          <a:off x="13468349" y="1130926"/>
          <a:ext cx="75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r"/>
          <a:r>
            <a:rPr lang="ru-RU" sz="1200" b="0">
              <a:solidFill>
                <a:srgbClr val="00B0F0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Ф21/Ф20</a:t>
          </a:r>
        </a:p>
      </xdr:txBody>
    </xdr:sp>
    <xdr:clientData fLocksWithSheet="0" fPrintsWithSheet="0"/>
  </xdr:twoCellAnchor>
  <xdr:twoCellAnchor editAs="oneCell">
    <xdr:from>
      <xdr:col>18</xdr:col>
      <xdr:colOff>514349</xdr:colOff>
      <xdr:row>2</xdr:row>
      <xdr:rowOff>788025</xdr:rowOff>
    </xdr:from>
    <xdr:to>
      <xdr:col>19</xdr:col>
      <xdr:colOff>622649</xdr:colOff>
      <xdr:row>2</xdr:row>
      <xdr:rowOff>968025</xdr:rowOff>
    </xdr:to>
    <xdr:sp macro="" textlink="">
      <xdr:nvSpPr>
        <xdr:cNvPr id="141" name="TabV_Ind_2_Name"/>
        <xdr:cNvSpPr txBox="1"/>
      </xdr:nvSpPr>
      <xdr:spPr>
        <a:xfrm>
          <a:off x="13468349" y="1626225"/>
          <a:ext cx="75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r"/>
          <a:r>
            <a:rPr lang="ru-RU" sz="1200" b="0">
              <a:solidFill>
                <a:srgbClr val="00B0F0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Ф21/Б21</a:t>
          </a:r>
        </a:p>
      </xdr:txBody>
    </xdr:sp>
    <xdr:clientData fLocksWithSheet="0" fPrintsWithSheet="0"/>
  </xdr:twoCellAnchor>
  <xdr:twoCellAnchor editAs="oneCell">
    <xdr:from>
      <xdr:col>18</xdr:col>
      <xdr:colOff>514349</xdr:colOff>
      <xdr:row>2</xdr:row>
      <xdr:rowOff>1292850</xdr:rowOff>
    </xdr:from>
    <xdr:to>
      <xdr:col>19</xdr:col>
      <xdr:colOff>622649</xdr:colOff>
      <xdr:row>2</xdr:row>
      <xdr:rowOff>1472850</xdr:rowOff>
    </xdr:to>
    <xdr:sp macro="" textlink="">
      <xdr:nvSpPr>
        <xdr:cNvPr id="142" name="TabV_Ind_3_Name"/>
        <xdr:cNvSpPr txBox="1"/>
      </xdr:nvSpPr>
      <xdr:spPr>
        <a:xfrm>
          <a:off x="13468349" y="2131050"/>
          <a:ext cx="75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r"/>
          <a:r>
            <a:rPr lang="ru-RU" sz="1200" b="0">
              <a:solidFill>
                <a:srgbClr val="00B0F0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Ф21/Б22нач</a:t>
          </a:r>
        </a:p>
      </xdr:txBody>
    </xdr:sp>
    <xdr:clientData fLocksWithSheet="0" fPrintsWithSheet="0"/>
  </xdr:twoCellAnchor>
  <xdr:twoCellAnchor editAs="oneCell">
    <xdr:from>
      <xdr:col>18</xdr:col>
      <xdr:colOff>115138</xdr:colOff>
      <xdr:row>2</xdr:row>
      <xdr:rowOff>74266</xdr:rowOff>
    </xdr:from>
    <xdr:to>
      <xdr:col>19</xdr:col>
      <xdr:colOff>638176</xdr:colOff>
      <xdr:row>2</xdr:row>
      <xdr:rowOff>340352</xdr:rowOff>
    </xdr:to>
    <xdr:sp macro="" textlink="">
      <xdr:nvSpPr>
        <xdr:cNvPr id="143" name="TabV_Ind_1_S"/>
        <xdr:cNvSpPr txBox="1"/>
      </xdr:nvSpPr>
      <xdr:spPr>
        <a:xfrm>
          <a:off x="13069138" y="912466"/>
          <a:ext cx="1170738" cy="266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6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</a:t>
          </a:r>
        </a:p>
      </xdr:txBody>
    </xdr:sp>
    <xdr:clientData fLocksWithSheet="0" fPrintsWithSheet="0"/>
  </xdr:twoCellAnchor>
  <xdr:twoCellAnchor editAs="oneCell">
    <xdr:from>
      <xdr:col>17</xdr:col>
      <xdr:colOff>560647</xdr:colOff>
      <xdr:row>2</xdr:row>
      <xdr:rowOff>569566</xdr:rowOff>
    </xdr:from>
    <xdr:to>
      <xdr:col>19</xdr:col>
      <xdr:colOff>626485</xdr:colOff>
      <xdr:row>2</xdr:row>
      <xdr:rowOff>835652</xdr:rowOff>
    </xdr:to>
    <xdr:sp macro="" textlink="">
      <xdr:nvSpPr>
        <xdr:cNvPr id="144" name="TabV_Ind_2_S"/>
        <xdr:cNvSpPr txBox="1"/>
      </xdr:nvSpPr>
      <xdr:spPr>
        <a:xfrm>
          <a:off x="12866947" y="1407766"/>
          <a:ext cx="1361238" cy="266086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6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</a:t>
          </a:r>
        </a:p>
      </xdr:txBody>
    </xdr:sp>
    <xdr:clientData fLocksWithSheet="0" fPrintsWithSheet="0"/>
  </xdr:twoCellAnchor>
  <xdr:twoCellAnchor editAs="oneCell">
    <xdr:from>
      <xdr:col>17</xdr:col>
      <xdr:colOff>560647</xdr:colOff>
      <xdr:row>2</xdr:row>
      <xdr:rowOff>1055341</xdr:rowOff>
    </xdr:from>
    <xdr:to>
      <xdr:col>19</xdr:col>
      <xdr:colOff>645535</xdr:colOff>
      <xdr:row>2</xdr:row>
      <xdr:rowOff>1321427</xdr:rowOff>
    </xdr:to>
    <xdr:sp macro="" textlink="">
      <xdr:nvSpPr>
        <xdr:cNvPr id="145" name="TabV_Ind_3_S"/>
        <xdr:cNvSpPr txBox="1"/>
      </xdr:nvSpPr>
      <xdr:spPr>
        <a:xfrm>
          <a:off x="12866947" y="1893541"/>
          <a:ext cx="1380288" cy="266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1600" b="0">
              <a:solidFill>
                <a:srgbClr val="002882"/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+0,0</a:t>
          </a:r>
        </a:p>
      </xdr:txBody>
    </xdr:sp>
    <xdr:clientData fLocksWithSheet="0" fPrintsWithSheet="0"/>
  </xdr:twoCellAnchor>
  <xdr:twoCellAnchor editAs="oneCell">
    <xdr:from>
      <xdr:col>19</xdr:col>
      <xdr:colOff>332047</xdr:colOff>
      <xdr:row>2</xdr:row>
      <xdr:rowOff>54602</xdr:rowOff>
    </xdr:from>
    <xdr:to>
      <xdr:col>20</xdr:col>
      <xdr:colOff>8347</xdr:colOff>
      <xdr:row>2</xdr:row>
      <xdr:rowOff>187952</xdr:rowOff>
    </xdr:to>
    <xdr:sp macro="" textlink="">
      <xdr:nvSpPr>
        <xdr:cNvPr id="146" name="TabV_Ind_Сurrency"/>
        <xdr:cNvSpPr txBox="1"/>
      </xdr:nvSpPr>
      <xdr:spPr>
        <a:xfrm>
          <a:off x="13933747" y="892802"/>
          <a:ext cx="324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r>
            <a:rPr lang="ru-RU" sz="800" b="0">
              <a:solidFill>
                <a:schemeClr val="bg1">
                  <a:lumMod val="50000"/>
                </a:schemeClr>
              </a:solidFill>
              <a:effectLst/>
              <a:latin typeface="+mn-lt"/>
              <a:ea typeface="Segoe UI" panose="020B0502040204020203" pitchFamily="34" charset="0"/>
              <a:cs typeface="Segoe UI" panose="020B0502040204020203" pitchFamily="34" charset="0"/>
            </a:rPr>
            <a:t>млн.р.</a:t>
          </a:r>
        </a:p>
      </xdr:txBody>
    </xdr:sp>
    <xdr:clientData fLocksWithSheet="0" fPrintsWithSheet="0"/>
  </xdr:twoCellAnchor>
  <xdr:twoCellAnchor>
    <xdr:from>
      <xdr:col>10</xdr:col>
      <xdr:colOff>618720</xdr:colOff>
      <xdr:row>2</xdr:row>
      <xdr:rowOff>1362811</xdr:rowOff>
    </xdr:from>
    <xdr:to>
      <xdr:col>12</xdr:col>
      <xdr:colOff>367423</xdr:colOff>
      <xdr:row>2</xdr:row>
      <xdr:rowOff>1362811</xdr:rowOff>
    </xdr:to>
    <xdr:cxnSp macro="">
      <xdr:nvCxnSpPr>
        <xdr:cNvPr id="147" name="TabV_Year_Line"/>
        <xdr:cNvCxnSpPr/>
      </xdr:nvCxnSpPr>
      <xdr:spPr>
        <a:xfrm>
          <a:off x="8391120" y="2201011"/>
          <a:ext cx="1044103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406332</xdr:colOff>
      <xdr:row>2</xdr:row>
      <xdr:rowOff>306294</xdr:rowOff>
    </xdr:from>
    <xdr:to>
      <xdr:col>11</xdr:col>
      <xdr:colOff>406332</xdr:colOff>
      <xdr:row>2</xdr:row>
      <xdr:rowOff>1532394</xdr:rowOff>
    </xdr:to>
    <xdr:cxnSp macro="">
      <xdr:nvCxnSpPr>
        <xdr:cNvPr id="148" name="TabV_Line_2"/>
        <xdr:cNvCxnSpPr/>
      </xdr:nvCxnSpPr>
      <xdr:spPr>
        <a:xfrm rot="16200000">
          <a:off x="8213382" y="1757544"/>
          <a:ext cx="1226100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19050</xdr:colOff>
      <xdr:row>0</xdr:row>
      <xdr:rowOff>171450</xdr:rowOff>
    </xdr:from>
    <xdr:to>
      <xdr:col>24</xdr:col>
      <xdr:colOff>95252</xdr:colOff>
      <xdr:row>3</xdr:row>
      <xdr:rowOff>876301</xdr:rowOff>
    </xdr:to>
    <xdr:grpSp>
      <xdr:nvGrpSpPr>
        <xdr:cNvPr id="149" name="HelpPanel" hidden="1"/>
        <xdr:cNvGrpSpPr/>
      </xdr:nvGrpSpPr>
      <xdr:grpSpPr>
        <a:xfrm>
          <a:off x="14373225" y="171450"/>
          <a:ext cx="1905002" cy="3038476"/>
          <a:chOff x="14335124" y="180974"/>
          <a:chExt cx="1934679" cy="3038476"/>
        </a:xfrm>
      </xdr:grpSpPr>
      <xdr:sp macro="[0]!пустой" textlink="">
        <xdr:nvSpPr>
          <xdr:cNvPr id="150" name="Прямоугольник 149" hidden="1"/>
          <xdr:cNvSpPr/>
        </xdr:nvSpPr>
        <xdr:spPr>
          <a:xfrm>
            <a:off x="14335124" y="180974"/>
            <a:ext cx="1914526" cy="3028951"/>
          </a:xfrm>
          <a:prstGeom prst="rect">
            <a:avLst/>
          </a:prstGeom>
          <a:pattFill prst="pct30">
            <a:fgClr>
              <a:schemeClr val="bg1">
                <a:lumMod val="95000"/>
              </a:schemeClr>
            </a:fgClr>
            <a:bgClr>
              <a:schemeClr val="bg1"/>
            </a:bgClr>
          </a:pattFill>
          <a:ln w="6350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0]!пустой" textlink="">
        <xdr:nvSpPr>
          <xdr:cNvPr id="151" name="TextBox 150" hidden="1"/>
          <xdr:cNvSpPr txBox="1"/>
        </xdr:nvSpPr>
        <xdr:spPr>
          <a:xfrm>
            <a:off x="14628234" y="197131"/>
            <a:ext cx="1641569" cy="30223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>
              <a:lnSpc>
                <a:spcPts val="2250"/>
              </a:lnSpc>
              <a:spcBef>
                <a:spcPts val="0"/>
              </a:spcBef>
            </a:pPr>
            <a:r>
              <a:rPr lang="en-US" sz="800" b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 </a:t>
            </a:r>
            <a:r>
              <a:rPr lang="ru-RU" sz="800" b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сбросить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по умолчанию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выгрузить в файл массив данных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скрыть/раскрыть блок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редактировать вид блока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обновить данные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сбросить все фильтры</a:t>
            </a:r>
          </a:p>
          <a:p>
            <a:pPr>
              <a:lnSpc>
                <a:spcPts val="2250"/>
              </a:lnSpc>
              <a:spcBef>
                <a:spcPts val="0"/>
              </a:spcBef>
            </a:pP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скрыть/раскрыть строки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/>
            </a:r>
            <a:b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</a:b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каскадная диаграмма</a:t>
            </a:r>
            <a:b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</a:b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выбрать несколько периодов</a:t>
            </a: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/>
            </a:r>
            <a:b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- </a:t>
            </a:r>
            <a:r>
              <a:rPr lang="ru-RU" sz="800" b="0" baseline="0">
                <a:solidFill>
                  <a:schemeClr val="tx1"/>
                </a:solidFill>
                <a:latin typeface="+mn-lt"/>
                <a:ea typeface="Segoe UI" panose="020B0502040204020203" pitchFamily="34" charset="0"/>
                <a:cs typeface="Segoe UI" panose="020B0502040204020203" pitchFamily="34" charset="0"/>
              </a:rPr>
              <a:t>накопленный итог</a:t>
            </a:r>
          </a:p>
        </xdr:txBody>
      </xdr:sp>
      <xdr:pic macro="[0]!пустой">
        <xdr:nvPicPr>
          <xdr:cNvPr id="152" name="Рисунок 151" hidden="1"/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1325" y="2057400"/>
            <a:ext cx="152400" cy="152400"/>
          </a:xfrm>
          <a:prstGeom prst="rect">
            <a:avLst/>
          </a:prstGeom>
        </xdr:spPr>
      </xdr:pic>
      <xdr:pic macro="[0]!пустой">
        <xdr:nvPicPr>
          <xdr:cNvPr id="153" name="Рисунок 152" hidden="1"/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1800" y="1771650"/>
            <a:ext cx="152400" cy="152400"/>
          </a:xfrm>
          <a:prstGeom prst="rect">
            <a:avLst/>
          </a:prstGeom>
        </xdr:spPr>
      </xdr:pic>
      <xdr:pic macro="[0]!пустой">
        <xdr:nvPicPr>
          <xdr:cNvPr id="154" name="Рисунок 153" hidden="1"/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1325" y="1485900"/>
            <a:ext cx="152400" cy="152400"/>
          </a:xfrm>
          <a:prstGeom prst="rect">
            <a:avLst/>
          </a:prstGeom>
        </xdr:spPr>
      </xdr:pic>
      <xdr:pic macro="[0]!пустой">
        <xdr:nvPicPr>
          <xdr:cNvPr id="155" name="Рисунок 154" hidden="1"/>
          <xdr:cNvPicPr>
            <a:picLocks noChangeAspect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1800" y="1200150"/>
            <a:ext cx="152400" cy="152400"/>
          </a:xfrm>
          <a:prstGeom prst="rect">
            <a:avLst/>
          </a:prstGeom>
        </xdr:spPr>
      </xdr:pic>
      <xdr:pic macro="[0]!пустой">
        <xdr:nvPicPr>
          <xdr:cNvPr id="156" name="Рисунок 155" hidden="1"/>
          <xdr:cNvPicPr>
            <a:picLocks noChangeAspect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1800" y="895350"/>
            <a:ext cx="152400" cy="152400"/>
          </a:xfrm>
          <a:prstGeom prst="rect">
            <a:avLst/>
          </a:prstGeom>
        </xdr:spPr>
      </xdr:pic>
      <xdr:pic macro="[0]!пустой">
        <xdr:nvPicPr>
          <xdr:cNvPr id="157" name="Рисунок 156" hidden="1"/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11325" y="609600"/>
            <a:ext cx="144000" cy="144000"/>
          </a:xfrm>
          <a:prstGeom prst="rect">
            <a:avLst/>
          </a:prstGeom>
        </xdr:spPr>
      </xdr:pic>
      <xdr:pic macro="[0]!пустой">
        <xdr:nvPicPr>
          <xdr:cNvPr id="158" name="Рисунок 157" hidden="1"/>
          <xdr:cNvPicPr>
            <a:picLocks noChangeAspect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392275" y="314325"/>
            <a:ext cx="154800" cy="154800"/>
          </a:xfrm>
          <a:prstGeom prst="rect">
            <a:avLst/>
          </a:prstGeom>
        </xdr:spPr>
      </xdr:pic>
      <xdr:sp macro="" textlink="">
        <xdr:nvSpPr>
          <xdr:cNvPr id="159" name="img26" hidden="1"/>
          <xdr:cNvSpPr/>
        </xdr:nvSpPr>
        <xdr:spPr>
          <a:xfrm>
            <a:off x="14392275" y="2352675"/>
            <a:ext cx="180000" cy="180000"/>
          </a:xfrm>
          <a:prstGeom prst="roundRect">
            <a:avLst>
              <a:gd name="adj" fmla="val 15537"/>
            </a:avLst>
          </a:prstGeom>
          <a:noFill/>
          <a:ln w="952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 macro="[0]!пустой">
        <xdr:nvPicPr>
          <xdr:cNvPr id="160" name="img12" hidden="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100000"/>
                    </a14:imgEffect>
                    <a14:imgEffect>
                      <a14:brightnessContrast bright="18000" contras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00924" y="2356837"/>
            <a:ext cx="173004" cy="173004"/>
          </a:xfrm>
          <a:prstGeom prst="rect">
            <a:avLst/>
          </a:prstGeom>
        </xdr:spPr>
      </xdr:pic>
      <xdr:sp macro="[0]!пустой" textlink="">
        <xdr:nvSpPr>
          <xdr:cNvPr id="161" name="Period_Multi_Btn" hidden="1"/>
          <xdr:cNvSpPr/>
        </xdr:nvSpPr>
        <xdr:spPr>
          <a:xfrm>
            <a:off x="14394429" y="2634337"/>
            <a:ext cx="180000" cy="180000"/>
          </a:xfrm>
          <a:prstGeom prst="roundRect">
            <a:avLst>
              <a:gd name="adj" fmla="val 15537"/>
            </a:avLst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800" b="1">
                <a:solidFill>
                  <a:sysClr val="windowText" lastClr="000000"/>
                </a:solidFill>
              </a:rPr>
              <a:t>&gt;1</a:t>
            </a:r>
            <a:endParaRPr lang="ru-RU" sz="800" b="1">
              <a:solidFill>
                <a:sysClr val="windowText" lastClr="000000"/>
              </a:solidFill>
            </a:endParaRPr>
          </a:p>
        </xdr:txBody>
      </xdr:sp>
      <xdr:sp macro="[0]!пустой" textlink="">
        <xdr:nvSpPr>
          <xdr:cNvPr id="162" name="Period_Multi_Btn" hidden="1"/>
          <xdr:cNvSpPr/>
        </xdr:nvSpPr>
        <xdr:spPr>
          <a:xfrm>
            <a:off x="14394429" y="2910562"/>
            <a:ext cx="180000" cy="180000"/>
          </a:xfrm>
          <a:prstGeom prst="roundRect">
            <a:avLst>
              <a:gd name="adj" fmla="val 15537"/>
            </a:avLst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750" b="1">
                <a:solidFill>
                  <a:sysClr val="windowText" lastClr="000000"/>
                </a:solidFill>
              </a:rPr>
              <a:t>YTD</a:t>
            </a:r>
            <a:endParaRPr lang="ru-RU" sz="75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1</xdr:col>
      <xdr:colOff>266700</xdr:colOff>
      <xdr:row>1</xdr:row>
      <xdr:rowOff>66675</xdr:rowOff>
    </xdr:from>
    <xdr:to>
      <xdr:col>1</xdr:col>
      <xdr:colOff>482700</xdr:colOff>
      <xdr:row>1</xdr:row>
      <xdr:rowOff>210675</xdr:rowOff>
    </xdr:to>
    <xdr:sp macro="[0]!пустой" textlink="">
      <xdr:nvSpPr>
        <xdr:cNvPr id="177" name="Head_KPI" hidden="1"/>
        <xdr:cNvSpPr/>
      </xdr:nvSpPr>
      <xdr:spPr>
        <a:xfrm>
          <a:off x="285750" y="247650"/>
          <a:ext cx="216000" cy="144000"/>
        </a:xfrm>
        <a:prstGeom prst="round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002882"/>
              </a:solidFill>
            </a:rPr>
            <a:t>KPI</a:t>
          </a:r>
          <a:endParaRPr lang="ru-RU" sz="900" b="1">
            <a:solidFill>
              <a:srgbClr val="002882"/>
            </a:solidFill>
          </a:endParaRPr>
        </a:p>
      </xdr:txBody>
    </xdr:sp>
    <xdr:clientData/>
  </xdr:twoCellAnchor>
  <xdr:twoCellAnchor editAs="oneCell">
    <xdr:from>
      <xdr:col>1</xdr:col>
      <xdr:colOff>295275</xdr:colOff>
      <xdr:row>2</xdr:row>
      <xdr:rowOff>66675</xdr:rowOff>
    </xdr:from>
    <xdr:to>
      <xdr:col>1</xdr:col>
      <xdr:colOff>835275</xdr:colOff>
      <xdr:row>2</xdr:row>
      <xdr:rowOff>210675</xdr:rowOff>
    </xdr:to>
    <xdr:sp macro="[0]!пустой" textlink="">
      <xdr:nvSpPr>
        <xdr:cNvPr id="178" name="Head_TabV" hidden="1"/>
        <xdr:cNvSpPr/>
      </xdr:nvSpPr>
      <xdr:spPr>
        <a:xfrm>
          <a:off x="314325" y="495300"/>
          <a:ext cx="540000" cy="144000"/>
        </a:xfrm>
        <a:prstGeom prst="round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ru-RU" sz="900" b="1">
              <a:solidFill>
                <a:srgbClr val="002882"/>
              </a:solidFill>
            </a:rPr>
            <a:t>Графики</a:t>
          </a:r>
        </a:p>
      </xdr:txBody>
    </xdr:sp>
    <xdr:clientData/>
  </xdr:twoCellAnchor>
  <xdr:twoCellAnchor editAs="oneCell">
    <xdr:from>
      <xdr:col>1</xdr:col>
      <xdr:colOff>295275</xdr:colOff>
      <xdr:row>2</xdr:row>
      <xdr:rowOff>133350</xdr:rowOff>
    </xdr:from>
    <xdr:to>
      <xdr:col>11</xdr:col>
      <xdr:colOff>419100</xdr:colOff>
      <xdr:row>2</xdr:row>
      <xdr:rowOff>1378726</xdr:rowOff>
    </xdr:to>
    <xdr:graphicFrame macro="">
      <xdr:nvGraphicFramePr>
        <xdr:cNvPr id="179" name="TabV_Waterfall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1</xdr:col>
      <xdr:colOff>0</xdr:colOff>
      <xdr:row>4</xdr:row>
      <xdr:rowOff>0</xdr:rowOff>
    </xdr:from>
    <xdr:to>
      <xdr:col>20</xdr:col>
      <xdr:colOff>9525</xdr:colOff>
      <xdr:row>8</xdr:row>
      <xdr:rowOff>56567</xdr:rowOff>
    </xdr:to>
    <xdr:sp macro="" textlink="">
      <xdr:nvSpPr>
        <xdr:cNvPr id="180" name="Notification_Start"/>
        <xdr:cNvSpPr/>
      </xdr:nvSpPr>
      <xdr:spPr>
        <a:xfrm>
          <a:off x="19050" y="3305175"/>
          <a:ext cx="14239875" cy="837617"/>
        </a:xfrm>
        <a:prstGeom prst="round2SameRect">
          <a:avLst>
            <a:gd name="adj1" fmla="val 0"/>
            <a:gd name="adj2" fmla="val 25790"/>
          </a:avLst>
        </a:prstGeom>
        <a:solidFill>
          <a:srgbClr val="002882">
            <a:alpha val="9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/>
            <a:t>Нажмите</a:t>
          </a:r>
          <a:r>
            <a:rPr lang="ru-RU" sz="1100" baseline="0"/>
            <a:t> на облако справа для загрузки отчета </a:t>
          </a:r>
          <a:r>
            <a:rPr lang="en-US" sz="1100" baseline="0"/>
            <a:t>&gt; </a:t>
          </a:r>
        </a:p>
        <a:p>
          <a:pPr algn="ctr"/>
          <a:endParaRPr lang="ru-RU" sz="1100"/>
        </a:p>
      </xdr:txBody>
    </xdr:sp>
    <xdr:clientData/>
  </xdr:twoCellAnchor>
  <xdr:twoCellAnchor editAs="absolute">
    <xdr:from>
      <xdr:col>11</xdr:col>
      <xdr:colOff>238125</xdr:colOff>
      <xdr:row>5</xdr:row>
      <xdr:rowOff>133350</xdr:rowOff>
    </xdr:from>
    <xdr:to>
      <xdr:col>11</xdr:col>
      <xdr:colOff>542925</xdr:colOff>
      <xdr:row>7</xdr:row>
      <xdr:rowOff>47625</xdr:rowOff>
    </xdr:to>
    <xdr:pic macro="[0]!StartLoad">
      <xdr:nvPicPr>
        <xdr:cNvPr id="181" name="Notification_StartLoad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8225" y="3648075"/>
          <a:ext cx="304800" cy="295275"/>
        </a:xfrm>
        <a:prstGeom prst="rect">
          <a:avLst/>
        </a:prstGeom>
      </xdr:spPr>
    </xdr:pic>
    <xdr:clientData/>
  </xdr:twoCellAnchor>
  <xdr:twoCellAnchor>
    <xdr:from>
      <xdr:col>2</xdr:col>
      <xdr:colOff>233239</xdr:colOff>
      <xdr:row>4</xdr:row>
      <xdr:rowOff>195262</xdr:rowOff>
    </xdr:from>
    <xdr:to>
      <xdr:col>2</xdr:col>
      <xdr:colOff>233239</xdr:colOff>
      <xdr:row>4</xdr:row>
      <xdr:rowOff>207962</xdr:rowOff>
    </xdr:to>
    <xdr:cxnSp macro="[0]!пустой">
      <xdr:nvCxnSpPr>
        <xdr:cNvPr id="182" name="DynSprt_1"/>
        <xdr:cNvCxnSpPr/>
      </xdr:nvCxnSpPr>
      <xdr:spPr>
        <a:xfrm flipV="1">
          <a:off x="2633539" y="3500437"/>
          <a:ext cx="0" cy="12700"/>
        </a:xfrm>
        <a:prstGeom prst="line">
          <a:avLst/>
        </a:prstGeom>
        <a:ln w="3175">
          <a:solidFill>
            <a:schemeClr val="tx1">
              <a:lumMod val="65000"/>
              <a:lumOff val="35000"/>
              <a:alpha val="3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423740</xdr:colOff>
      <xdr:row>4</xdr:row>
      <xdr:rowOff>195262</xdr:rowOff>
    </xdr:from>
    <xdr:to>
      <xdr:col>2</xdr:col>
      <xdr:colOff>423740</xdr:colOff>
      <xdr:row>4</xdr:row>
      <xdr:rowOff>207962</xdr:rowOff>
    </xdr:to>
    <xdr:cxnSp macro="[0]!пустой">
      <xdr:nvCxnSpPr>
        <xdr:cNvPr id="183" name="DynSprt_2"/>
        <xdr:cNvCxnSpPr/>
      </xdr:nvCxnSpPr>
      <xdr:spPr>
        <a:xfrm flipV="1">
          <a:off x="2824040" y="3500437"/>
          <a:ext cx="0" cy="12700"/>
        </a:xfrm>
        <a:prstGeom prst="line">
          <a:avLst/>
        </a:prstGeom>
        <a:ln w="3175">
          <a:solidFill>
            <a:schemeClr val="tx1">
              <a:lumMod val="65000"/>
              <a:lumOff val="35000"/>
              <a:alpha val="3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623766</xdr:colOff>
      <xdr:row>4</xdr:row>
      <xdr:rowOff>195262</xdr:rowOff>
    </xdr:from>
    <xdr:to>
      <xdr:col>2</xdr:col>
      <xdr:colOff>623766</xdr:colOff>
      <xdr:row>4</xdr:row>
      <xdr:rowOff>207962</xdr:rowOff>
    </xdr:to>
    <xdr:cxnSp macro="[0]!пустой">
      <xdr:nvCxnSpPr>
        <xdr:cNvPr id="184" name="DynSprt_3"/>
        <xdr:cNvCxnSpPr/>
      </xdr:nvCxnSpPr>
      <xdr:spPr>
        <a:xfrm flipV="1">
          <a:off x="3024066" y="3500437"/>
          <a:ext cx="0" cy="12700"/>
        </a:xfrm>
        <a:prstGeom prst="line">
          <a:avLst/>
        </a:prstGeom>
        <a:ln w="3175">
          <a:solidFill>
            <a:schemeClr val="tx1">
              <a:lumMod val="65000"/>
              <a:lumOff val="35000"/>
              <a:alpha val="3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409889</xdr:colOff>
      <xdr:row>0</xdr:row>
      <xdr:rowOff>17166</xdr:rowOff>
    </xdr:from>
    <xdr:to>
      <xdr:col>29</xdr:col>
      <xdr:colOff>563650</xdr:colOff>
      <xdr:row>0</xdr:row>
      <xdr:rowOff>169566</xdr:rowOff>
    </xdr:to>
    <xdr:pic macro="[0]!ClearDetailTable"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17370" y="17166"/>
          <a:ext cx="153761" cy="15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45</xdr:col>
      <xdr:colOff>401810</xdr:colOff>
      <xdr:row>172</xdr:row>
      <xdr:rowOff>119061</xdr:rowOff>
    </xdr:to>
    <xdr:sp macro="" textlink="">
      <xdr:nvSpPr>
        <xdr:cNvPr id="3" name="Прямоугольник 2"/>
        <xdr:cNvSpPr/>
      </xdr:nvSpPr>
      <xdr:spPr>
        <a:xfrm>
          <a:off x="0" y="0"/>
          <a:ext cx="41002123" cy="3309937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7</xdr:col>
      <xdr:colOff>384490</xdr:colOff>
      <xdr:row>18</xdr:row>
      <xdr:rowOff>84079</xdr:rowOff>
    </xdr:from>
    <xdr:to>
      <xdr:col>8</xdr:col>
      <xdr:colOff>199615</xdr:colOff>
      <xdr:row>22</xdr:row>
      <xdr:rowOff>42079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902" y="3513079"/>
          <a:ext cx="720000" cy="72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45</xdr:col>
      <xdr:colOff>-1</xdr:colOff>
      <xdr:row>146</xdr:row>
      <xdr:rowOff>95249</xdr:rowOff>
    </xdr:to>
    <xdr:sp macro="" textlink="">
      <xdr:nvSpPr>
        <xdr:cNvPr id="4" name="Прямоугольник 3"/>
        <xdr:cNvSpPr/>
      </xdr:nvSpPr>
      <xdr:spPr>
        <a:xfrm>
          <a:off x="0" y="0"/>
          <a:ext cx="37392428" cy="27921856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7</xdr:col>
      <xdr:colOff>1738799</xdr:colOff>
      <xdr:row>24</xdr:row>
      <xdr:rowOff>87280</xdr:rowOff>
    </xdr:from>
    <xdr:to>
      <xdr:col>8</xdr:col>
      <xdr:colOff>689871</xdr:colOff>
      <xdr:row>28</xdr:row>
      <xdr:rowOff>45280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8335" y="4672887"/>
          <a:ext cx="720000" cy="720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preserveFormatting="0" adjustColumnWidth="0" connectionId="1" autoFormatId="16" applyNumberFormats="0" applyBorderFormats="0" applyFontFormats="1" applyPatternFormats="1" applyAlignmentFormats="0" applyWidthHeightFormats="0">
  <queryTableRefresh nextId="203">
    <queryTableFields count="29">
      <queryTableField id="201" name="Финансовая позиция" tableColumnId="1"/>
      <queryTableField id="31" name="Наименование ФП" tableColumnId="58"/>
      <queryTableField id="4" name="АУР/КВ" tableColumnId="31"/>
      <queryTableField id="6" name="Управление" tableColumnId="33"/>
      <queryTableField id="7" name="Группа затрат" tableColumnId="34"/>
      <queryTableField id="8" name="Подгруппа затрат" tableColumnId="35"/>
      <queryTableField id="11" name="ПФМ" tableColumnId="38"/>
      <queryTableField id="12" name="Наименование ПФМ" tableColumnId="39"/>
      <queryTableField id="13" name="Регион" tableColumnId="40"/>
      <queryTableField id="14" name="ГО/Филиалы" tableColumnId="41"/>
      <queryTableField id="15" name="Филиал" tableColumnId="42"/>
      <queryTableField id="16" name="Тип сети" tableColumnId="43"/>
      <queryTableField id="17" name="MIR-код" tableColumnId="44"/>
      <queryTableField id="18" name="Наименование MIR-кода" tableColumnId="45"/>
      <queryTableField id="19" name="Программа бюджета (код)" tableColumnId="46"/>
      <queryTableField id="20" name="Программа бюджета" tableColumnId="47"/>
      <queryTableField id="132" name="Наименование среза" tableColumnId="5"/>
      <queryTableField id="197" name="Янв" tableColumnId="86"/>
      <queryTableField id="198" name="Фев" tableColumnId="87"/>
      <queryTableField id="185" name="Мар" tableColumnId="74"/>
      <queryTableField id="186" name="Апр" tableColumnId="75"/>
      <queryTableField id="187" name="Май" tableColumnId="76"/>
      <queryTableField id="188" name="Июн" tableColumnId="77"/>
      <queryTableField id="189" name="Июл" tableColumnId="78"/>
      <queryTableField id="190" name="Авг" tableColumnId="79"/>
      <queryTableField id="191" name="Сен" tableColumnId="80"/>
      <queryTableField id="192" name="Окт" tableColumnId="81"/>
      <queryTableField id="193" name="Ноя" tableColumnId="82"/>
      <queryTableField id="194" name="Дек" tableColumnId="8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F_Access" displayName="DataF_Access" ref="A1:AC2" tableType="queryTable" totalsRowShown="0">
  <autoFilter ref="A1:AC2"/>
  <tableColumns count="29">
    <tableColumn id="1" uniqueName="1" name="Финансовая позиция" queryTableFieldId="201" dataDxfId="28"/>
    <tableColumn id="58" uniqueName="58" name="Наименование ФП" queryTableFieldId="31" dataDxfId="27"/>
    <tableColumn id="31" uniqueName="31" name="АУР/КВ" queryTableFieldId="4" dataDxfId="26"/>
    <tableColumn id="33" uniqueName="33" name="Управление" queryTableFieldId="6" dataDxfId="25"/>
    <tableColumn id="34" uniqueName="34" name="Группа затрат" queryTableFieldId="7" dataDxfId="24"/>
    <tableColumn id="35" uniqueName="35" name="Подгруппа затрат" queryTableFieldId="8" dataDxfId="23"/>
    <tableColumn id="38" uniqueName="38" name="ПФМ" queryTableFieldId="11" dataDxfId="22"/>
    <tableColumn id="39" uniqueName="39" name="Наименование ПФМ" queryTableFieldId="12" dataDxfId="21"/>
    <tableColumn id="40" uniqueName="40" name="Регион" queryTableFieldId="13" dataDxfId="20"/>
    <tableColumn id="41" uniqueName="41" name="ГО/Филиалы" queryTableFieldId="14" dataDxfId="19"/>
    <tableColumn id="42" uniqueName="42" name="Филиал" queryTableFieldId="15" dataDxfId="18"/>
    <tableColumn id="43" uniqueName="43" name="Тип сети" queryTableFieldId="16" dataDxfId="17"/>
    <tableColumn id="44" uniqueName="44" name="MIR-код" queryTableFieldId="17" dataDxfId="16"/>
    <tableColumn id="45" uniqueName="45" name="Наименование MIR-кода" queryTableFieldId="18" dataDxfId="15"/>
    <tableColumn id="46" uniqueName="46" name="Программа бюджета (код)" queryTableFieldId="19" dataDxfId="14"/>
    <tableColumn id="47" uniqueName="47" name="Программа бюджета" queryTableFieldId="20" dataDxfId="13"/>
    <tableColumn id="5" uniqueName="5" name="Наименование среза" queryTableFieldId="132" dataDxfId="12"/>
    <tableColumn id="86" uniqueName="86" name="Янв" queryTableFieldId="197" dataDxfId="11" dataCellStyle="Финансовый"/>
    <tableColumn id="87" uniqueName="87" name="Фев" queryTableFieldId="198" dataDxfId="10" dataCellStyle="Финансовый"/>
    <tableColumn id="74" uniqueName="74" name="Мар" queryTableFieldId="185" dataDxfId="9" dataCellStyle="Финансовый"/>
    <tableColumn id="75" uniqueName="75" name="Апр" queryTableFieldId="186" dataDxfId="8"/>
    <tableColumn id="76" uniqueName="76" name="Май" queryTableFieldId="187" dataDxfId="7"/>
    <tableColumn id="77" uniqueName="77" name="Июн" queryTableFieldId="188" dataDxfId="6"/>
    <tableColumn id="78" uniqueName="78" name="Июл" queryTableFieldId="189" dataDxfId="5"/>
    <tableColumn id="79" uniqueName="79" name="Авг" queryTableFieldId="190" dataDxfId="4"/>
    <tableColumn id="80" uniqueName="80" name="Сен" queryTableFieldId="191" dataDxfId="3"/>
    <tableColumn id="81" uniqueName="81" name="Окт" queryTableFieldId="192" dataDxfId="2"/>
    <tableColumn id="82" uniqueName="82" name="Ноя" queryTableFieldId="193" dataDxfId="1"/>
    <tableColumn id="83" uniqueName="83" name="Дек" queryTableFieldId="194" dataDxfId="0"/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9525" cmpd="sng">
          <a:noFill/>
        </a:ln>
      </a:spPr>
      <a:bodyPr vertOverflow="overflow" horzOverflow="overflow" wrap="square" rtlCol="0" anchor="ctr"/>
      <a:lstStyle>
        <a:defPPr>
          <a:defRPr sz="2000" b="1">
            <a:solidFill>
              <a:schemeClr val="bg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B0F0"/>
  </sheetPr>
  <dimension ref="B1:U5"/>
  <sheetViews>
    <sheetView showGridLines="0" showRowColHeader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20" sqref="B20"/>
    </sheetView>
  </sheetViews>
  <sheetFormatPr defaultRowHeight="15" x14ac:dyDescent="0.25"/>
  <cols>
    <col min="1" max="1" width="0.28515625" customWidth="1"/>
    <col min="2" max="2" width="35.7109375" customWidth="1"/>
    <col min="3" max="3" width="12.5703125" customWidth="1"/>
    <col min="4" max="20" width="9.7109375" customWidth="1"/>
    <col min="21" max="21" width="1.5703125" customWidth="1"/>
  </cols>
  <sheetData>
    <row r="1" spans="2:21" ht="14.25" customHeight="1" x14ac:dyDescent="0.25">
      <c r="B1" s="76"/>
      <c r="C1" s="76" t="s">
        <v>180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2:21" ht="50.1" customHeight="1" thickBot="1" x14ac:dyDescent="0.3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</row>
    <row r="3" spans="2:21" ht="120" customHeight="1" x14ac:dyDescent="0.25"/>
    <row r="4" spans="2:21" ht="76.5" customHeight="1" x14ac:dyDescent="0.25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</row>
    <row r="5" spans="2:21" ht="16.5" customHeight="1" x14ac:dyDescent="0.25">
      <c r="B5" s="80" t="s">
        <v>159</v>
      </c>
      <c r="C5" s="81" t="s">
        <v>152</v>
      </c>
      <c r="D5" s="81" t="s">
        <v>122</v>
      </c>
      <c r="E5" s="79" t="s">
        <v>123</v>
      </c>
      <c r="F5" s="79" t="s">
        <v>124</v>
      </c>
      <c r="G5" s="83" t="s">
        <v>125</v>
      </c>
      <c r="H5" s="79" t="s">
        <v>18</v>
      </c>
      <c r="I5" s="79" t="s">
        <v>126</v>
      </c>
      <c r="J5" s="83" t="s">
        <v>127</v>
      </c>
      <c r="K5" s="79" t="s">
        <v>128</v>
      </c>
      <c r="L5" s="79" t="s">
        <v>129</v>
      </c>
      <c r="M5" s="83" t="s">
        <v>130</v>
      </c>
      <c r="N5" s="79" t="s">
        <v>131</v>
      </c>
      <c r="O5" s="79" t="s">
        <v>132</v>
      </c>
      <c r="P5" s="81" t="s">
        <v>176</v>
      </c>
      <c r="Q5" s="79" t="s">
        <v>177</v>
      </c>
      <c r="R5" s="79" t="s">
        <v>178</v>
      </c>
      <c r="S5" s="79" t="s">
        <v>182</v>
      </c>
      <c r="T5" s="81" t="s">
        <v>15</v>
      </c>
      <c r="U5" s="82"/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B0F0"/>
  </sheetPr>
  <dimension ref="A1:AC2"/>
  <sheetViews>
    <sheetView showGridLines="0" zoomScale="55" zoomScaleNormal="55" workbookViewId="0">
      <selection activeCell="N54" sqref="N54"/>
    </sheetView>
  </sheetViews>
  <sheetFormatPr defaultRowHeight="15" x14ac:dyDescent="0.25"/>
  <cols>
    <col min="1" max="1" width="23.5703125" customWidth="1"/>
    <col min="2" max="2" width="23.140625" customWidth="1"/>
    <col min="3" max="3" width="15.140625" customWidth="1"/>
    <col min="4" max="4" width="16.5703125" customWidth="1"/>
    <col min="5" max="5" width="20.28515625" customWidth="1"/>
    <col min="6" max="6" width="21.42578125" customWidth="1"/>
    <col min="7" max="7" width="23.28515625" customWidth="1"/>
    <col min="8" max="8" width="24.42578125" customWidth="1"/>
    <col min="9" max="9" width="16.140625" customWidth="1"/>
    <col min="10" max="10" width="17.140625" customWidth="1"/>
    <col min="11" max="11" width="12.7109375" customWidth="1"/>
    <col min="12" max="12" width="13.28515625" customWidth="1"/>
    <col min="13" max="13" width="27.5703125" customWidth="1"/>
    <col min="14" max="14" width="28.85546875" customWidth="1"/>
    <col min="15" max="15" width="29.140625" customWidth="1"/>
    <col min="16" max="16" width="24.85546875" customWidth="1"/>
    <col min="17" max="17" width="23.7109375" customWidth="1"/>
    <col min="18" max="20" width="14.5703125" style="75" customWidth="1"/>
    <col min="21" max="28" width="14.5703125" customWidth="1"/>
    <col min="29" max="29" width="23.7109375" customWidth="1"/>
    <col min="30" max="30" width="14.28515625" customWidth="1"/>
    <col min="31" max="33" width="23.5703125" customWidth="1"/>
    <col min="34" max="34" width="13.140625" customWidth="1"/>
  </cols>
  <sheetData>
    <row r="1" spans="1:29" x14ac:dyDescent="0.25">
      <c r="A1" s="57" t="s">
        <v>0</v>
      </c>
      <c r="B1" s="57" t="s">
        <v>117</v>
      </c>
      <c r="C1" s="57" t="s">
        <v>8</v>
      </c>
      <c r="D1" s="57" t="s">
        <v>31</v>
      </c>
      <c r="E1" s="57" t="s">
        <v>9</v>
      </c>
      <c r="F1" s="57" t="s">
        <v>32</v>
      </c>
      <c r="G1" s="57" t="s">
        <v>11</v>
      </c>
      <c r="H1" s="57" t="s">
        <v>118</v>
      </c>
      <c r="I1" s="57" t="s">
        <v>35</v>
      </c>
      <c r="J1" s="57" t="s">
        <v>33</v>
      </c>
      <c r="K1" s="57" t="s">
        <v>34</v>
      </c>
      <c r="L1" s="57" t="s">
        <v>91</v>
      </c>
      <c r="M1" s="57" t="s">
        <v>10</v>
      </c>
      <c r="N1" s="57" t="s">
        <v>119</v>
      </c>
      <c r="O1" s="57" t="s">
        <v>120</v>
      </c>
      <c r="P1" s="57" t="s">
        <v>12</v>
      </c>
      <c r="Q1" s="57" t="s">
        <v>121</v>
      </c>
      <c r="R1" s="74" t="s">
        <v>122</v>
      </c>
      <c r="S1" s="74" t="s">
        <v>123</v>
      </c>
      <c r="T1" s="74" t="s">
        <v>124</v>
      </c>
      <c r="U1" s="57" t="s">
        <v>125</v>
      </c>
      <c r="V1" s="57" t="s">
        <v>18</v>
      </c>
      <c r="W1" s="57" t="s">
        <v>126</v>
      </c>
      <c r="X1" s="57" t="s">
        <v>127</v>
      </c>
      <c r="Y1" s="57" t="s">
        <v>128</v>
      </c>
      <c r="Z1" s="57" t="s">
        <v>129</v>
      </c>
      <c r="AA1" s="57" t="s">
        <v>130</v>
      </c>
      <c r="AB1" s="57" t="s">
        <v>131</v>
      </c>
      <c r="AC1" s="57" t="s">
        <v>132</v>
      </c>
    </row>
    <row r="2" spans="1:29" x14ac:dyDescent="0.25">
      <c r="A2" s="57" t="s">
        <v>181</v>
      </c>
      <c r="B2" s="57" t="s">
        <v>181</v>
      </c>
      <c r="C2" s="57" t="s">
        <v>181</v>
      </c>
      <c r="D2" s="57" t="s">
        <v>181</v>
      </c>
      <c r="E2" s="57" t="s">
        <v>181</v>
      </c>
      <c r="F2" s="57" t="s">
        <v>181</v>
      </c>
      <c r="G2" s="57" t="s">
        <v>181</v>
      </c>
      <c r="H2" s="57" t="s">
        <v>181</v>
      </c>
      <c r="I2" s="57" t="s">
        <v>181</v>
      </c>
      <c r="J2" s="57" t="s">
        <v>181</v>
      </c>
      <c r="K2" s="57" t="s">
        <v>181</v>
      </c>
      <c r="L2" s="57" t="s">
        <v>181</v>
      </c>
      <c r="M2" s="57" t="s">
        <v>181</v>
      </c>
      <c r="N2" s="57" t="s">
        <v>181</v>
      </c>
      <c r="O2" s="57" t="s">
        <v>181</v>
      </c>
      <c r="P2" s="57" t="s">
        <v>181</v>
      </c>
      <c r="Q2" s="57" t="s">
        <v>181</v>
      </c>
      <c r="R2" s="74" t="s">
        <v>181</v>
      </c>
      <c r="S2" s="74" t="s">
        <v>181</v>
      </c>
      <c r="T2" s="74" t="s">
        <v>181</v>
      </c>
      <c r="U2" s="57" t="s">
        <v>181</v>
      </c>
      <c r="V2" s="57" t="s">
        <v>181</v>
      </c>
      <c r="W2" s="57" t="s">
        <v>181</v>
      </c>
      <c r="X2" s="57" t="s">
        <v>181</v>
      </c>
      <c r="Y2" s="57" t="s">
        <v>181</v>
      </c>
      <c r="Z2" s="57" t="s">
        <v>181</v>
      </c>
      <c r="AA2" s="57" t="s">
        <v>181</v>
      </c>
      <c r="AB2" s="57" t="s">
        <v>181</v>
      </c>
      <c r="AC2" s="57" t="s">
        <v>181</v>
      </c>
    </row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0" tint="-0.499984740745262"/>
  </sheetPr>
  <dimension ref="A1:V79"/>
  <sheetViews>
    <sheetView showGridLines="0" zoomScale="80" zoomScaleNormal="80" workbookViewId="0">
      <selection activeCell="H12" sqref="H12"/>
    </sheetView>
  </sheetViews>
  <sheetFormatPr defaultRowHeight="15" x14ac:dyDescent="0.25"/>
  <cols>
    <col min="1" max="1" width="27.85546875" customWidth="1"/>
    <col min="2" max="3" width="16.140625" customWidth="1"/>
    <col min="4" max="5" width="16.7109375" customWidth="1"/>
    <col min="6" max="6" width="12.42578125" customWidth="1"/>
    <col min="7" max="7" width="17.28515625" customWidth="1"/>
    <col min="8" max="8" width="13.5703125" customWidth="1"/>
    <col min="9" max="9" width="13.85546875" customWidth="1"/>
    <col min="10" max="10" width="17.28515625" customWidth="1"/>
    <col min="11" max="12" width="12.42578125" customWidth="1"/>
    <col min="13" max="13" width="25" customWidth="1"/>
    <col min="14" max="17" width="18.140625" style="19" customWidth="1"/>
    <col min="18" max="18" width="2.140625" style="19" customWidth="1"/>
    <col min="19" max="19" width="31" style="19" customWidth="1"/>
    <col min="20" max="20" width="3.42578125" style="19" customWidth="1"/>
    <col min="21" max="21" width="29.140625" style="19" customWidth="1"/>
    <col min="22" max="22" width="2.85546875" style="19" customWidth="1"/>
    <col min="23" max="23" width="9.140625" customWidth="1"/>
    <col min="24" max="24" width="22.7109375" bestFit="1" customWidth="1"/>
    <col min="25" max="25" width="3.28515625" customWidth="1"/>
    <col min="26" max="26" width="4.42578125" customWidth="1"/>
    <col min="27" max="27" width="19.140625" customWidth="1"/>
    <col min="28" max="28" width="19.7109375" customWidth="1"/>
    <col min="29" max="29" width="4.28515625" customWidth="1"/>
    <col min="30" max="30" width="14.28515625" customWidth="1"/>
    <col min="31" max="31" width="15.7109375" customWidth="1"/>
    <col min="32" max="32" width="12.85546875" customWidth="1"/>
    <col min="33" max="33" width="14.7109375" customWidth="1"/>
  </cols>
  <sheetData>
    <row r="1" spans="1:22" x14ac:dyDescent="0.25">
      <c r="A1" s="84" t="s">
        <v>72</v>
      </c>
      <c r="B1" s="84"/>
      <c r="C1" s="84"/>
      <c r="D1" s="84"/>
      <c r="E1" s="84"/>
      <c r="F1" s="84"/>
      <c r="G1" s="84"/>
      <c r="H1" s="21"/>
      <c r="I1" s="17"/>
      <c r="J1" s="17"/>
      <c r="K1" s="17"/>
      <c r="L1" s="17"/>
      <c r="M1" s="17"/>
      <c r="N1" s="70"/>
      <c r="O1" s="70"/>
      <c r="P1" s="70"/>
      <c r="Q1" s="70"/>
      <c r="R1" s="25"/>
      <c r="S1" s="25"/>
      <c r="T1" s="25"/>
      <c r="U1"/>
      <c r="V1" s="25"/>
    </row>
    <row r="2" spans="1:22" x14ac:dyDescent="0.25">
      <c r="A2" s="24"/>
      <c r="B2" s="26" t="s">
        <v>42</v>
      </c>
      <c r="C2" s="26" t="s">
        <v>43</v>
      </c>
      <c r="D2" s="26" t="s">
        <v>44</v>
      </c>
      <c r="E2" s="26" t="s">
        <v>45</v>
      </c>
      <c r="F2" s="26" t="s">
        <v>46</v>
      </c>
      <c r="G2" s="26" t="s">
        <v>47</v>
      </c>
      <c r="H2" s="26" t="s">
        <v>48</v>
      </c>
      <c r="I2" s="26" t="s">
        <v>49</v>
      </c>
      <c r="J2" s="26" t="s">
        <v>50</v>
      </c>
      <c r="K2" s="26" t="s">
        <v>51</v>
      </c>
      <c r="L2" s="26" t="s">
        <v>52</v>
      </c>
      <c r="M2" s="26" t="s">
        <v>53</v>
      </c>
      <c r="N2" s="26" t="s">
        <v>153</v>
      </c>
      <c r="O2" s="26" t="s">
        <v>154</v>
      </c>
      <c r="P2" s="26" t="s">
        <v>155</v>
      </c>
      <c r="Q2" s="26" t="s">
        <v>156</v>
      </c>
      <c r="R2" s="25"/>
      <c r="S2" s="48"/>
      <c r="T2" s="25"/>
      <c r="U2"/>
      <c r="V2" s="25"/>
    </row>
    <row r="3" spans="1:22" x14ac:dyDescent="0.25">
      <c r="A3" s="58"/>
      <c r="B3" s="59" t="s">
        <v>137</v>
      </c>
      <c r="C3" s="59" t="s">
        <v>138</v>
      </c>
      <c r="D3" s="59" t="s">
        <v>139</v>
      </c>
      <c r="E3" s="59" t="s">
        <v>140</v>
      </c>
      <c r="F3" s="59" t="s">
        <v>141</v>
      </c>
      <c r="G3" s="59" t="s">
        <v>142</v>
      </c>
      <c r="H3" s="59" t="s">
        <v>143</v>
      </c>
      <c r="I3" s="59" t="s">
        <v>144</v>
      </c>
      <c r="J3" s="59" t="s">
        <v>145</v>
      </c>
      <c r="K3" s="59" t="s">
        <v>146</v>
      </c>
      <c r="L3" s="59" t="s">
        <v>147</v>
      </c>
      <c r="M3" s="59" t="s">
        <v>148</v>
      </c>
      <c r="N3" s="59" t="s">
        <v>153</v>
      </c>
      <c r="O3" s="59" t="s">
        <v>154</v>
      </c>
      <c r="P3" s="59" t="s">
        <v>155</v>
      </c>
      <c r="Q3" s="59" t="s">
        <v>156</v>
      </c>
      <c r="R3"/>
      <c r="S3" s="8"/>
      <c r="T3"/>
      <c r="U3"/>
      <c r="V3"/>
    </row>
    <row r="4" spans="1:22" x14ac:dyDescent="0.25">
      <c r="A4" s="59" t="s">
        <v>169</v>
      </c>
      <c r="B4" s="60" t="e">
        <f>IF(B5&lt;&gt;0,B5/B6-1,NA())</f>
        <v>#N/A</v>
      </c>
      <c r="C4" s="60" t="e">
        <f t="shared" ref="C4:Q4" si="0">IF(C5&lt;&gt;0,C5/C6-1,NA())</f>
        <v>#N/A</v>
      </c>
      <c r="D4" s="60" t="e">
        <f t="shared" si="0"/>
        <v>#N/A</v>
      </c>
      <c r="E4" s="60" t="e">
        <f t="shared" si="0"/>
        <v>#N/A</v>
      </c>
      <c r="F4" s="60" t="e">
        <f t="shared" si="0"/>
        <v>#N/A</v>
      </c>
      <c r="G4" s="60" t="e">
        <f t="shared" si="0"/>
        <v>#N/A</v>
      </c>
      <c r="H4" s="60" t="e">
        <f t="shared" si="0"/>
        <v>#N/A</v>
      </c>
      <c r="I4" s="60" t="e">
        <f t="shared" si="0"/>
        <v>#N/A</v>
      </c>
      <c r="J4" s="60" t="e">
        <f t="shared" si="0"/>
        <v>#N/A</v>
      </c>
      <c r="K4" s="60" t="e">
        <f t="shared" si="0"/>
        <v>#N/A</v>
      </c>
      <c r="L4" s="60" t="e">
        <f t="shared" si="0"/>
        <v>#N/A</v>
      </c>
      <c r="M4" s="60" t="e">
        <f t="shared" si="0"/>
        <v>#N/A</v>
      </c>
      <c r="N4" s="60" t="e">
        <f t="shared" si="0"/>
        <v>#N/A</v>
      </c>
      <c r="O4" s="60" t="e">
        <f t="shared" si="0"/>
        <v>#N/A</v>
      </c>
      <c r="P4" s="60" t="e">
        <f t="shared" si="0"/>
        <v>#N/A</v>
      </c>
      <c r="Q4" s="60" t="e">
        <f t="shared" si="0"/>
        <v>#N/A</v>
      </c>
      <c r="R4"/>
      <c r="S4" s="62" t="s">
        <v>149</v>
      </c>
      <c r="T4"/>
      <c r="U4"/>
      <c r="V4"/>
    </row>
    <row r="5" spans="1:22" x14ac:dyDescent="0.25">
      <c r="A5" s="59" t="s">
        <v>77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/>
      <c r="S5" s="62" t="s">
        <v>185</v>
      </c>
      <c r="T5"/>
      <c r="U5"/>
      <c r="V5"/>
    </row>
    <row r="6" spans="1:22" x14ac:dyDescent="0.25">
      <c r="A6" s="59" t="s">
        <v>78</v>
      </c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/>
      <c r="S6" s="62" t="s">
        <v>183</v>
      </c>
      <c r="T6"/>
      <c r="U6"/>
      <c r="V6"/>
    </row>
    <row r="7" spans="1:22" x14ac:dyDescent="0.25">
      <c r="N7"/>
      <c r="O7"/>
      <c r="P7"/>
      <c r="Q7"/>
      <c r="R7"/>
      <c r="S7" s="8"/>
      <c r="T7"/>
      <c r="U7"/>
      <c r="V7"/>
    </row>
    <row r="8" spans="1:22" x14ac:dyDescent="0.25">
      <c r="A8" s="73" t="s">
        <v>100</v>
      </c>
      <c r="B8" s="45"/>
      <c r="D8" s="5" t="s">
        <v>151</v>
      </c>
      <c r="E8" s="5"/>
      <c r="N8"/>
      <c r="O8"/>
      <c r="P8"/>
      <c r="Q8"/>
      <c r="R8"/>
      <c r="S8" s="8"/>
      <c r="T8"/>
      <c r="U8"/>
      <c r="V8"/>
    </row>
    <row r="9" spans="1:22" x14ac:dyDescent="0.25">
      <c r="A9" s="72" t="s">
        <v>171</v>
      </c>
      <c r="B9" s="21">
        <v>6</v>
      </c>
      <c r="N9"/>
      <c r="O9"/>
      <c r="P9"/>
      <c r="Q9"/>
      <c r="R9"/>
      <c r="S9" s="8"/>
      <c r="T9"/>
      <c r="U9"/>
      <c r="V9"/>
    </row>
    <row r="10" spans="1:22" s="8" customFormat="1" x14ac:dyDescent="0.25">
      <c r="A10" s="72" t="s">
        <v>172</v>
      </c>
      <c r="B10" s="21"/>
    </row>
    <row r="11" spans="1:22" x14ac:dyDescent="0.25">
      <c r="N11"/>
      <c r="O11"/>
      <c r="P11"/>
      <c r="Q11"/>
      <c r="R11"/>
      <c r="S11"/>
      <c r="T11"/>
      <c r="U11"/>
      <c r="V11"/>
    </row>
    <row r="12" spans="1:22" x14ac:dyDescent="0.25">
      <c r="N12"/>
      <c r="O12"/>
      <c r="P12"/>
      <c r="Q12"/>
      <c r="R12"/>
      <c r="S12"/>
      <c r="T12"/>
      <c r="U12"/>
      <c r="V12"/>
    </row>
    <row r="13" spans="1:22" x14ac:dyDescent="0.25">
      <c r="N13"/>
      <c r="O13"/>
      <c r="P13"/>
      <c r="Q13"/>
      <c r="R13"/>
      <c r="S13"/>
      <c r="T13"/>
      <c r="U13"/>
      <c r="V13"/>
    </row>
    <row r="14" spans="1:22" x14ac:dyDescent="0.25">
      <c r="N14"/>
      <c r="O14"/>
      <c r="P14"/>
      <c r="Q14"/>
      <c r="R14"/>
      <c r="S14"/>
      <c r="T14"/>
      <c r="U14"/>
      <c r="V14"/>
    </row>
    <row r="15" spans="1:22" x14ac:dyDescent="0.25">
      <c r="S15"/>
    </row>
    <row r="16" spans="1:22" x14ac:dyDescent="0.25">
      <c r="S16"/>
    </row>
    <row r="17" spans="1:19" x14ac:dyDescent="0.25">
      <c r="S17"/>
    </row>
    <row r="18" spans="1:19" x14ac:dyDescent="0.25">
      <c r="A18" s="84" t="s">
        <v>73</v>
      </c>
      <c r="B18" s="84"/>
      <c r="C18" s="84"/>
      <c r="D18" s="84"/>
      <c r="E18" s="84"/>
      <c r="F18" s="84"/>
      <c r="G18" s="84"/>
      <c r="H18" s="21"/>
      <c r="I18" s="17"/>
      <c r="J18" s="17"/>
      <c r="K18" s="17"/>
      <c r="L18" s="17"/>
      <c r="M18" s="17"/>
      <c r="S18"/>
    </row>
    <row r="19" spans="1:19" x14ac:dyDescent="0.25">
      <c r="S19"/>
    </row>
    <row r="20" spans="1:19" x14ac:dyDescent="0.25">
      <c r="S20" s="18"/>
    </row>
    <row r="21" spans="1:19" x14ac:dyDescent="0.25">
      <c r="N21" s="20"/>
      <c r="S21" s="18"/>
    </row>
    <row r="22" spans="1:19" x14ac:dyDescent="0.25">
      <c r="S22" s="18"/>
    </row>
    <row r="27" spans="1:19" x14ac:dyDescent="0.25">
      <c r="A27" s="35" t="s">
        <v>71</v>
      </c>
      <c r="B27" s="35"/>
      <c r="D27" s="35" t="s">
        <v>70</v>
      </c>
      <c r="E27" s="35"/>
    </row>
    <row r="28" spans="1:19" x14ac:dyDescent="0.25">
      <c r="A28" t="s">
        <v>69</v>
      </c>
      <c r="B28">
        <v>100</v>
      </c>
      <c r="D28" t="str">
        <f>"-30% и менее"</f>
        <v>-30% и менее</v>
      </c>
      <c r="E28" t="str">
        <f>"R34C5/5+2"</f>
        <v>R34C5/5+2</v>
      </c>
      <c r="G28" s="37"/>
    </row>
    <row r="29" spans="1:19" x14ac:dyDescent="0.25">
      <c r="A29" t="s">
        <v>68</v>
      </c>
      <c r="B29">
        <v>1</v>
      </c>
      <c r="D29" s="27">
        <v>-0.2</v>
      </c>
      <c r="E29" t="str">
        <f t="shared" ref="E29:E33" si="1">"R34C5/5+2"</f>
        <v>R34C5/5+2</v>
      </c>
    </row>
    <row r="30" spans="1:19" x14ac:dyDescent="0.25">
      <c r="A30" t="s">
        <v>67</v>
      </c>
      <c r="B30" t="str">
        <f>"R[-2]C-R[-1]C-R[1]C"</f>
        <v>R[-2]C-R[-1]C-R[1]C</v>
      </c>
      <c r="D30" s="27">
        <v>-0.1</v>
      </c>
      <c r="E30" t="str">
        <f t="shared" si="1"/>
        <v>R34C5/5+2</v>
      </c>
    </row>
    <row r="31" spans="1:19" x14ac:dyDescent="0.25">
      <c r="A31" t="s">
        <v>66</v>
      </c>
      <c r="B31" s="36" t="str">
        <f>"ЕСЛИ(ABS(R[13]C)&gt;=30;30;ABS(R[13]C))"</f>
        <v>ЕСЛИ(ABS(R[13]C)&gt;=30;30;ABS(R[13]C))</v>
      </c>
      <c r="D31" s="27" t="str">
        <f>"+10%"</f>
        <v>+10%</v>
      </c>
      <c r="E31" t="str">
        <f t="shared" si="1"/>
        <v>R34C5/5+2</v>
      </c>
    </row>
    <row r="32" spans="1:19" x14ac:dyDescent="0.25">
      <c r="D32" s="27" t="str">
        <f>"+20%"</f>
        <v>+20%</v>
      </c>
      <c r="E32" t="str">
        <f t="shared" si="1"/>
        <v>R34C5/5+2</v>
      </c>
    </row>
    <row r="33" spans="1:5" x14ac:dyDescent="0.25">
      <c r="D33" t="str">
        <f>"+30% и более"</f>
        <v>+30% и более</v>
      </c>
      <c r="E33" t="str">
        <f t="shared" si="1"/>
        <v>R34C5/5+2</v>
      </c>
    </row>
    <row r="34" spans="1:5" x14ac:dyDescent="0.25">
      <c r="A34" s="35" t="s">
        <v>65</v>
      </c>
      <c r="B34" s="35"/>
      <c r="D34" t="s">
        <v>64</v>
      </c>
      <c r="E34">
        <v>50</v>
      </c>
    </row>
    <row r="35" spans="1:5" x14ac:dyDescent="0.25">
      <c r="A35" t="s">
        <v>63</v>
      </c>
      <c r="B35">
        <v>30</v>
      </c>
    </row>
    <row r="36" spans="1:5" x14ac:dyDescent="0.25">
      <c r="A36" t="s">
        <v>62</v>
      </c>
      <c r="B36">
        <v>-30</v>
      </c>
    </row>
    <row r="37" spans="1:5" x14ac:dyDescent="0.25">
      <c r="A37" t="s">
        <v>61</v>
      </c>
      <c r="B37">
        <v>97</v>
      </c>
      <c r="C37" t="s">
        <v>60</v>
      </c>
    </row>
    <row r="38" spans="1:5" x14ac:dyDescent="0.25">
      <c r="A38" t="s">
        <v>59</v>
      </c>
      <c r="B38">
        <v>103</v>
      </c>
    </row>
    <row r="39" spans="1:5" x14ac:dyDescent="0.25">
      <c r="A39" s="34" t="s">
        <v>58</v>
      </c>
      <c r="B39" s="34">
        <v>254</v>
      </c>
    </row>
    <row r="40" spans="1:5" x14ac:dyDescent="0.25">
      <c r="A40" s="33" t="s">
        <v>57</v>
      </c>
      <c r="B40" s="32" t="str">
        <f>"ЕСЛИ(R[4]C&gt;=R[-5]C;R[-2]C;R[-3]C/R[-5]C*R[-9]C)"</f>
        <v>ЕСЛИ(R[4]C&gt;=R[-5]C;R[-2]C;R[-3]C/R[-5]C*R[-9]C)</v>
      </c>
      <c r="C40" s="31"/>
    </row>
    <row r="41" spans="1:5" x14ac:dyDescent="0.25">
      <c r="A41" s="30" t="s">
        <v>56</v>
      </c>
      <c r="B41" s="30" t="str">
        <f>"ЕСЛИ(R[3]C&lt;=R[-5]C;R[-2]C;360-(R[-4]C/R[-6]C*R[-10]C))"</f>
        <v>ЕСЛИ(R[3]C&lt;=R[-5]C;R[-2]C;360-(R[-4]C/R[-6]C*R[-10]C))</v>
      </c>
    </row>
    <row r="42" spans="1:5" x14ac:dyDescent="0.25">
      <c r="A42" s="30" t="s">
        <v>55</v>
      </c>
      <c r="B42" s="30">
        <v>359</v>
      </c>
    </row>
    <row r="44" spans="1:5" ht="15.75" x14ac:dyDescent="0.25">
      <c r="A44" s="29" t="s">
        <v>16</v>
      </c>
      <c r="B44" s="46">
        <v>153342.09</v>
      </c>
    </row>
    <row r="45" spans="1:5" ht="15.75" x14ac:dyDescent="0.25">
      <c r="A45" s="28" t="s">
        <v>54</v>
      </c>
      <c r="B45" s="47" t="str">
        <f>"ЕСЛИ(R[-1]C&gt;0;R[-5]C;ЕСЛИ(R[-1]C=0;R[-3]C;R[-4]C))"</f>
        <v>ЕСЛИ(R[-1]C&gt;0;R[-5]C;ЕСЛИ(R[-1]C=0;R[-3]C;R[-4]C))</v>
      </c>
    </row>
    <row r="49" spans="1:13" x14ac:dyDescent="0.25">
      <c r="A49" s="84" t="s">
        <v>83</v>
      </c>
      <c r="B49" s="84"/>
      <c r="C49" s="84"/>
      <c r="D49" s="84"/>
      <c r="E49" s="84"/>
      <c r="F49" s="84"/>
      <c r="G49" s="84"/>
      <c r="H49" s="21"/>
      <c r="I49" s="17"/>
      <c r="J49" s="17"/>
      <c r="K49" s="17"/>
      <c r="L49" s="17"/>
      <c r="M49" s="17"/>
    </row>
    <row r="50" spans="1:13" x14ac:dyDescent="0.25">
      <c r="A50" s="38" t="s">
        <v>84</v>
      </c>
      <c r="B50" s="42" t="s">
        <v>86</v>
      </c>
      <c r="C50" s="23" t="s">
        <v>87</v>
      </c>
      <c r="D50" s="23" t="s">
        <v>88</v>
      </c>
      <c r="E50" s="42" t="s">
        <v>89</v>
      </c>
      <c r="G50" s="38" t="s">
        <v>90</v>
      </c>
      <c r="H50" s="23" t="s">
        <v>85</v>
      </c>
    </row>
    <row r="51" spans="1:13" x14ac:dyDescent="0.25">
      <c r="A51" s="39"/>
      <c r="B51" s="43"/>
      <c r="C51" s="40"/>
      <c r="D51" s="40"/>
      <c r="E51" s="44"/>
      <c r="G51" s="41">
        <v>4</v>
      </c>
      <c r="H51" s="22">
        <v>2021</v>
      </c>
    </row>
    <row r="52" spans="1:13" x14ac:dyDescent="0.25">
      <c r="A52" s="39"/>
      <c r="B52" s="43"/>
      <c r="C52" s="40"/>
      <c r="D52" s="40"/>
      <c r="E52" s="44"/>
    </row>
    <row r="53" spans="1:13" x14ac:dyDescent="0.25">
      <c r="A53" s="39"/>
      <c r="B53" s="43"/>
      <c r="C53" s="40"/>
      <c r="D53" s="40"/>
      <c r="E53" s="44"/>
    </row>
    <row r="54" spans="1:13" x14ac:dyDescent="0.25">
      <c r="A54" s="39"/>
      <c r="B54" s="43"/>
      <c r="C54" s="40"/>
      <c r="D54" s="40"/>
      <c r="E54" s="44"/>
    </row>
    <row r="55" spans="1:13" x14ac:dyDescent="0.25">
      <c r="A55" s="39"/>
      <c r="B55" s="43"/>
      <c r="C55" s="40"/>
      <c r="D55" s="40"/>
      <c r="E55" s="44"/>
    </row>
    <row r="56" spans="1:13" x14ac:dyDescent="0.25">
      <c r="A56" s="39"/>
      <c r="B56" s="43"/>
      <c r="C56" s="40"/>
      <c r="D56" s="40"/>
      <c r="E56" s="44"/>
    </row>
    <row r="57" spans="1:13" x14ac:dyDescent="0.25">
      <c r="A57" s="39"/>
      <c r="B57" s="43"/>
      <c r="C57" s="40"/>
      <c r="D57" s="40"/>
      <c r="E57" s="44"/>
    </row>
    <row r="58" spans="1:13" x14ac:dyDescent="0.25">
      <c r="A58" s="39"/>
      <c r="B58" s="43"/>
      <c r="C58" s="40"/>
      <c r="D58" s="40"/>
      <c r="E58" s="44"/>
    </row>
    <row r="59" spans="1:13" x14ac:dyDescent="0.25">
      <c r="A59" s="39"/>
      <c r="B59" s="43"/>
      <c r="C59" s="40"/>
      <c r="D59" s="40"/>
      <c r="E59" s="44"/>
    </row>
    <row r="65" spans="1:13" x14ac:dyDescent="0.25">
      <c r="A65" s="84" t="s">
        <v>160</v>
      </c>
      <c r="B65" s="84"/>
      <c r="C65" s="84"/>
      <c r="D65" s="84"/>
      <c r="E65" s="84"/>
      <c r="F65" s="84"/>
      <c r="G65" s="84"/>
      <c r="H65" s="21"/>
      <c r="I65" s="17"/>
      <c r="J65" s="17"/>
      <c r="K65" s="17"/>
      <c r="L65" s="17"/>
      <c r="M65" s="17"/>
    </row>
    <row r="67" spans="1:13" x14ac:dyDescent="0.25">
      <c r="C67" s="69" t="s">
        <v>168</v>
      </c>
      <c r="E67" s="85" t="s">
        <v>167</v>
      </c>
      <c r="F67" s="85"/>
    </row>
    <row r="68" spans="1:13" ht="30" x14ac:dyDescent="0.25">
      <c r="B68" s="68" t="s">
        <v>166</v>
      </c>
      <c r="C68" s="67" t="s">
        <v>165</v>
      </c>
      <c r="D68" s="67" t="s">
        <v>164</v>
      </c>
      <c r="E68" s="67" t="s">
        <v>163</v>
      </c>
      <c r="F68" s="67" t="s">
        <v>162</v>
      </c>
      <c r="G68" s="67" t="s">
        <v>161</v>
      </c>
      <c r="H68" s="67" t="s">
        <v>174</v>
      </c>
      <c r="I68" s="67" t="s">
        <v>175</v>
      </c>
    </row>
    <row r="69" spans="1:13" x14ac:dyDescent="0.25">
      <c r="B69" s="71"/>
      <c r="C69" s="71"/>
      <c r="D69" s="71"/>
      <c r="E69" s="71"/>
      <c r="F69" s="71"/>
      <c r="G69" s="71"/>
      <c r="H69" s="71"/>
    </row>
    <row r="70" spans="1:13" x14ac:dyDescent="0.25">
      <c r="B70" s="71"/>
      <c r="C70" s="71"/>
      <c r="D70" s="71"/>
      <c r="E70" s="71"/>
      <c r="F70" s="71"/>
      <c r="G70" s="71"/>
      <c r="H70" s="71"/>
    </row>
    <row r="71" spans="1:13" x14ac:dyDescent="0.25">
      <c r="B71" s="71"/>
      <c r="C71" s="71"/>
      <c r="D71" s="71"/>
      <c r="E71" s="71"/>
      <c r="F71" s="71"/>
      <c r="G71" s="71"/>
      <c r="H71" s="71"/>
    </row>
    <row r="72" spans="1:13" x14ac:dyDescent="0.25">
      <c r="B72" s="71"/>
      <c r="C72" s="71"/>
      <c r="D72" s="71"/>
      <c r="E72" s="71"/>
      <c r="F72" s="71"/>
      <c r="G72" s="71"/>
      <c r="H72" s="71"/>
    </row>
    <row r="73" spans="1:13" x14ac:dyDescent="0.25">
      <c r="B73" s="71"/>
      <c r="C73" s="71"/>
      <c r="D73" s="71"/>
      <c r="E73" s="71"/>
      <c r="F73" s="71"/>
      <c r="G73" s="71"/>
      <c r="H73" s="71"/>
    </row>
    <row r="74" spans="1:13" x14ac:dyDescent="0.25">
      <c r="B74" s="71"/>
      <c r="C74" s="71"/>
      <c r="D74" s="71"/>
      <c r="E74" s="71"/>
      <c r="F74" s="71"/>
      <c r="G74" s="71"/>
      <c r="H74" s="71"/>
    </row>
    <row r="75" spans="1:13" x14ac:dyDescent="0.25">
      <c r="B75" s="71"/>
      <c r="C75" s="71"/>
      <c r="D75" s="71"/>
      <c r="E75" s="71"/>
      <c r="F75" s="71"/>
      <c r="G75" s="71"/>
      <c r="H75" s="71"/>
    </row>
    <row r="76" spans="1:13" x14ac:dyDescent="0.25">
      <c r="B76" s="71"/>
      <c r="C76" s="71"/>
      <c r="D76" s="71"/>
      <c r="E76" s="71"/>
      <c r="F76" s="71"/>
      <c r="G76" s="71"/>
      <c r="H76" s="71"/>
    </row>
    <row r="77" spans="1:13" x14ac:dyDescent="0.25">
      <c r="B77" s="71"/>
      <c r="C77" s="71"/>
      <c r="D77" s="71"/>
      <c r="E77" s="71"/>
      <c r="F77" s="71"/>
      <c r="G77" s="71"/>
      <c r="H77" s="71"/>
    </row>
    <row r="78" spans="1:13" x14ac:dyDescent="0.25">
      <c r="B78" s="71"/>
      <c r="C78" s="71"/>
      <c r="D78" s="71"/>
      <c r="E78" s="71"/>
      <c r="F78" s="71"/>
      <c r="G78" s="71"/>
      <c r="H78" s="71"/>
    </row>
    <row r="79" spans="1:13" x14ac:dyDescent="0.25">
      <c r="B79" s="71"/>
      <c r="C79" s="71"/>
      <c r="D79" s="71"/>
      <c r="E79" s="71"/>
      <c r="F79" s="71"/>
      <c r="G79" s="71"/>
      <c r="H79" s="71"/>
    </row>
  </sheetData>
  <mergeCells count="5">
    <mergeCell ref="A1:G1"/>
    <mergeCell ref="A18:G18"/>
    <mergeCell ref="A49:G49"/>
    <mergeCell ref="A65:G65"/>
    <mergeCell ref="E67:F6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0" tint="-0.499984740745262"/>
  </sheetPr>
  <dimension ref="A1:AF26"/>
  <sheetViews>
    <sheetView showGridLines="0" zoomScale="70" zoomScaleNormal="70" workbookViewId="0">
      <selection activeCell="G35" sqref="G35"/>
    </sheetView>
  </sheetViews>
  <sheetFormatPr defaultRowHeight="15" x14ac:dyDescent="0.25"/>
  <cols>
    <col min="1" max="1" width="28.28515625" customWidth="1"/>
    <col min="2" max="2" width="12" customWidth="1"/>
    <col min="3" max="3" width="1" style="5" customWidth="1"/>
    <col min="4" max="4" width="27.85546875" style="8" customWidth="1"/>
    <col min="5" max="5" width="28.28515625" style="8" customWidth="1"/>
    <col min="6" max="6" width="1" style="5" customWidth="1"/>
    <col min="7" max="7" width="25.140625" customWidth="1"/>
    <col min="8" max="8" width="26.5703125" customWidth="1"/>
    <col min="9" max="9" width="27.5703125" customWidth="1"/>
    <col min="10" max="10" width="17.28515625" customWidth="1"/>
    <col min="11" max="11" width="14.28515625" customWidth="1"/>
    <col min="12" max="12" width="16.7109375" customWidth="1"/>
    <col min="13" max="13" width="17.140625" customWidth="1"/>
    <col min="14" max="14" width="18.5703125" customWidth="1"/>
    <col min="15" max="15" width="1" style="5" customWidth="1"/>
    <col min="16" max="16" width="1.5703125" customWidth="1"/>
    <col min="17" max="17" width="23.42578125" customWidth="1"/>
    <col min="18" max="18" width="1" style="5" customWidth="1"/>
    <col min="19" max="19" width="28.28515625" customWidth="1"/>
    <col min="20" max="20" width="1" style="5" customWidth="1"/>
    <col min="21" max="21" width="7.7109375" customWidth="1"/>
    <col min="22" max="22" width="8.140625" customWidth="1"/>
    <col min="23" max="23" width="1" style="5" customWidth="1"/>
    <col min="24" max="24" width="16.42578125" customWidth="1"/>
    <col min="25" max="25" width="11" customWidth="1"/>
    <col min="26" max="26" width="1" style="5" customWidth="1"/>
    <col min="27" max="27" width="11.42578125" customWidth="1"/>
    <col min="28" max="28" width="11.28515625" customWidth="1"/>
    <col min="29" max="29" width="12.42578125" customWidth="1"/>
    <col min="30" max="30" width="15.28515625" customWidth="1"/>
    <col min="31" max="31" width="1" style="5" customWidth="1"/>
    <col min="32" max="32" width="26" bestFit="1" customWidth="1"/>
  </cols>
  <sheetData>
    <row r="1" spans="1:32" ht="15.75" thickBot="1" x14ac:dyDescent="0.3">
      <c r="A1" s="4" t="s">
        <v>20</v>
      </c>
      <c r="B1" s="4"/>
      <c r="D1" s="4" t="s">
        <v>14</v>
      </c>
      <c r="E1" s="4"/>
      <c r="G1" s="4" t="s">
        <v>7</v>
      </c>
      <c r="H1" s="4"/>
      <c r="I1" s="4"/>
    </row>
    <row r="2" spans="1:32" x14ac:dyDescent="0.25">
      <c r="A2" s="6" t="s">
        <v>22</v>
      </c>
      <c r="B2" s="7"/>
      <c r="D2" s="55" t="s">
        <v>15</v>
      </c>
      <c r="E2" s="55" t="s">
        <v>16</v>
      </c>
      <c r="G2" s="6" t="s">
        <v>13</v>
      </c>
      <c r="H2" s="6" t="s">
        <v>37</v>
      </c>
      <c r="I2" s="6" t="s">
        <v>38</v>
      </c>
      <c r="J2" s="6" t="s">
        <v>19</v>
      </c>
      <c r="K2" s="6" t="s">
        <v>28</v>
      </c>
      <c r="L2" s="6" t="s">
        <v>29</v>
      </c>
      <c r="M2" s="6" t="s">
        <v>30</v>
      </c>
      <c r="N2" s="16" t="s">
        <v>93</v>
      </c>
      <c r="Q2" s="54" t="s">
        <v>74</v>
      </c>
      <c r="S2" s="54" t="s">
        <v>170</v>
      </c>
      <c r="U2" s="63" t="s">
        <v>101</v>
      </c>
      <c r="V2" s="63" t="s">
        <v>102</v>
      </c>
      <c r="X2" s="55" t="s">
        <v>92</v>
      </c>
      <c r="Y2" s="56" t="s">
        <v>105</v>
      </c>
      <c r="AA2" s="52" t="s">
        <v>104</v>
      </c>
      <c r="AB2" s="52" t="s">
        <v>108</v>
      </c>
      <c r="AC2" s="52" t="s">
        <v>103</v>
      </c>
      <c r="AD2" s="53" t="s">
        <v>28</v>
      </c>
      <c r="AF2" s="55" t="s">
        <v>133</v>
      </c>
    </row>
    <row r="3" spans="1:32" x14ac:dyDescent="0.25">
      <c r="A3" s="10" t="s">
        <v>21</v>
      </c>
      <c r="B3" s="1" t="s">
        <v>1</v>
      </c>
      <c r="D3" s="49" t="s">
        <v>0</v>
      </c>
      <c r="E3" s="50" t="s">
        <v>17</v>
      </c>
      <c r="G3" t="s">
        <v>0</v>
      </c>
      <c r="H3" t="s">
        <v>109</v>
      </c>
      <c r="I3" t="s">
        <v>110</v>
      </c>
      <c r="J3" t="s">
        <v>40</v>
      </c>
      <c r="K3" t="s">
        <v>77</v>
      </c>
      <c r="L3" t="s">
        <v>107</v>
      </c>
      <c r="M3" t="s">
        <v>173</v>
      </c>
      <c r="N3" t="s">
        <v>94</v>
      </c>
      <c r="Q3" t="s">
        <v>0</v>
      </c>
      <c r="S3" s="8" t="s">
        <v>31</v>
      </c>
      <c r="U3" s="64">
        <v>1</v>
      </c>
      <c r="V3" s="64">
        <v>0</v>
      </c>
      <c r="X3" t="s">
        <v>39</v>
      </c>
      <c r="Y3" t="s">
        <v>34</v>
      </c>
      <c r="AA3" t="s">
        <v>81</v>
      </c>
      <c r="AB3" t="s">
        <v>185</v>
      </c>
      <c r="AD3" t="s">
        <v>79</v>
      </c>
    </row>
    <row r="4" spans="1:32" x14ac:dyDescent="0.25">
      <c r="A4" s="11" t="s">
        <v>23</v>
      </c>
      <c r="B4" s="2" t="s">
        <v>2</v>
      </c>
      <c r="D4" s="49" t="s">
        <v>8</v>
      </c>
      <c r="E4" s="50" t="s">
        <v>17</v>
      </c>
      <c r="G4" t="s">
        <v>8</v>
      </c>
      <c r="H4" t="s">
        <v>109</v>
      </c>
      <c r="I4" t="s">
        <v>110</v>
      </c>
      <c r="J4" t="s">
        <v>41</v>
      </c>
      <c r="K4" t="s">
        <v>78</v>
      </c>
      <c r="L4" t="s">
        <v>107</v>
      </c>
      <c r="M4" t="s">
        <v>173</v>
      </c>
      <c r="N4" t="s">
        <v>95</v>
      </c>
      <c r="Q4" t="s">
        <v>8</v>
      </c>
      <c r="AA4" t="s">
        <v>82</v>
      </c>
      <c r="AB4" t="s">
        <v>183</v>
      </c>
      <c r="AC4" t="s">
        <v>185</v>
      </c>
      <c r="AD4" t="s">
        <v>97</v>
      </c>
    </row>
    <row r="5" spans="1:32" x14ac:dyDescent="0.25">
      <c r="A5" s="12" t="s">
        <v>24</v>
      </c>
      <c r="B5" s="2" t="s">
        <v>3</v>
      </c>
      <c r="D5" s="49" t="s">
        <v>31</v>
      </c>
      <c r="E5" s="50" t="s">
        <v>17</v>
      </c>
      <c r="G5" t="s">
        <v>31</v>
      </c>
      <c r="H5" t="s">
        <v>109</v>
      </c>
      <c r="I5" t="s">
        <v>110</v>
      </c>
      <c r="J5" t="s">
        <v>185</v>
      </c>
      <c r="K5" t="s">
        <v>79</v>
      </c>
      <c r="L5" t="s">
        <v>106</v>
      </c>
      <c r="M5" t="s">
        <v>98</v>
      </c>
      <c r="N5" t="s">
        <v>186</v>
      </c>
      <c r="Q5" t="s">
        <v>31</v>
      </c>
      <c r="AA5" t="s">
        <v>76</v>
      </c>
      <c r="AB5" t="s">
        <v>134</v>
      </c>
      <c r="AC5" t="s">
        <v>185</v>
      </c>
      <c r="AD5" t="s">
        <v>80</v>
      </c>
      <c r="AF5" s="65"/>
    </row>
    <row r="6" spans="1:32" x14ac:dyDescent="0.25">
      <c r="A6" s="13" t="s">
        <v>25</v>
      </c>
      <c r="B6" s="2" t="s">
        <v>4</v>
      </c>
      <c r="D6" s="49" t="s">
        <v>9</v>
      </c>
      <c r="E6" s="50" t="s">
        <v>17</v>
      </c>
      <c r="G6" t="s">
        <v>9</v>
      </c>
      <c r="H6" t="s">
        <v>109</v>
      </c>
      <c r="I6" t="s">
        <v>110</v>
      </c>
      <c r="J6" t="s">
        <v>134</v>
      </c>
      <c r="K6" t="s">
        <v>80</v>
      </c>
      <c r="L6" t="s">
        <v>107</v>
      </c>
      <c r="M6" t="s">
        <v>173</v>
      </c>
      <c r="N6" t="s">
        <v>135</v>
      </c>
      <c r="Q6" t="s">
        <v>9</v>
      </c>
      <c r="AA6" t="s">
        <v>75</v>
      </c>
      <c r="AB6" t="s">
        <v>191</v>
      </c>
      <c r="AC6" t="s">
        <v>185</v>
      </c>
      <c r="AD6" t="s">
        <v>192</v>
      </c>
    </row>
    <row r="7" spans="1:32" x14ac:dyDescent="0.25">
      <c r="A7" s="14" t="s">
        <v>26</v>
      </c>
      <c r="B7" s="1" t="s">
        <v>6</v>
      </c>
      <c r="D7" s="49" t="s">
        <v>32</v>
      </c>
      <c r="E7" s="50" t="s">
        <v>17</v>
      </c>
      <c r="G7" t="s">
        <v>32</v>
      </c>
      <c r="H7" t="s">
        <v>109</v>
      </c>
      <c r="I7" t="s">
        <v>110</v>
      </c>
      <c r="J7" t="s">
        <v>187</v>
      </c>
      <c r="K7" t="s">
        <v>96</v>
      </c>
      <c r="L7" t="s">
        <v>136</v>
      </c>
      <c r="M7" t="s">
        <v>173</v>
      </c>
      <c r="N7" t="s">
        <v>188</v>
      </c>
      <c r="Q7" t="s">
        <v>32</v>
      </c>
      <c r="AA7" t="s">
        <v>75</v>
      </c>
      <c r="AB7" t="s">
        <v>187</v>
      </c>
      <c r="AC7" t="s">
        <v>183</v>
      </c>
      <c r="AD7" t="s">
        <v>96</v>
      </c>
    </row>
    <row r="8" spans="1:32" x14ac:dyDescent="0.25">
      <c r="A8" s="15" t="s">
        <v>27</v>
      </c>
      <c r="B8" s="3" t="s">
        <v>5</v>
      </c>
      <c r="D8" s="9" t="s">
        <v>10</v>
      </c>
      <c r="E8" s="50" t="s">
        <v>17</v>
      </c>
      <c r="G8" t="s">
        <v>10</v>
      </c>
      <c r="H8" t="s">
        <v>111</v>
      </c>
      <c r="I8" t="s">
        <v>112</v>
      </c>
      <c r="J8" t="s">
        <v>183</v>
      </c>
      <c r="K8" t="s">
        <v>97</v>
      </c>
      <c r="L8" t="s">
        <v>99</v>
      </c>
      <c r="M8" t="s">
        <v>98</v>
      </c>
      <c r="N8" t="s">
        <v>184</v>
      </c>
      <c r="Q8" t="s">
        <v>33</v>
      </c>
    </row>
    <row r="9" spans="1:32" x14ac:dyDescent="0.25">
      <c r="A9" s="9" t="s">
        <v>157</v>
      </c>
      <c r="B9" s="66" t="s">
        <v>158</v>
      </c>
      <c r="D9" s="49" t="s">
        <v>11</v>
      </c>
      <c r="E9" s="50" t="s">
        <v>17</v>
      </c>
      <c r="G9" t="s">
        <v>11</v>
      </c>
      <c r="H9" t="s">
        <v>113</v>
      </c>
      <c r="I9" t="s">
        <v>114</v>
      </c>
      <c r="J9" t="s">
        <v>189</v>
      </c>
      <c r="K9" t="s">
        <v>150</v>
      </c>
      <c r="L9" t="s">
        <v>99</v>
      </c>
      <c r="M9" t="s">
        <v>98</v>
      </c>
      <c r="N9" t="s">
        <v>190</v>
      </c>
      <c r="Q9" t="s">
        <v>34</v>
      </c>
    </row>
    <row r="10" spans="1:32" x14ac:dyDescent="0.25">
      <c r="A10" s="9"/>
      <c r="D10" s="49" t="s">
        <v>33</v>
      </c>
      <c r="E10" s="50" t="s">
        <v>17</v>
      </c>
      <c r="G10" t="s">
        <v>33</v>
      </c>
      <c r="H10" t="s">
        <v>113</v>
      </c>
      <c r="I10" t="s">
        <v>114</v>
      </c>
      <c r="J10" t="s">
        <v>191</v>
      </c>
      <c r="K10" t="s">
        <v>192</v>
      </c>
      <c r="L10" t="s">
        <v>99</v>
      </c>
      <c r="M10" t="s">
        <v>98</v>
      </c>
      <c r="N10" t="s">
        <v>193</v>
      </c>
      <c r="Q10" t="s">
        <v>35</v>
      </c>
    </row>
    <row r="11" spans="1:32" x14ac:dyDescent="0.25">
      <c r="D11" s="49" t="s">
        <v>34</v>
      </c>
      <c r="E11" s="50" t="s">
        <v>17</v>
      </c>
      <c r="G11" t="s">
        <v>34</v>
      </c>
      <c r="H11" t="s">
        <v>113</v>
      </c>
      <c r="I11" t="s">
        <v>114</v>
      </c>
      <c r="Q11" t="s">
        <v>12</v>
      </c>
    </row>
    <row r="12" spans="1:32" x14ac:dyDescent="0.25">
      <c r="D12" s="49" t="s">
        <v>35</v>
      </c>
      <c r="E12" s="50" t="s">
        <v>17</v>
      </c>
      <c r="G12" t="s">
        <v>35</v>
      </c>
      <c r="H12" t="s">
        <v>113</v>
      </c>
      <c r="I12" t="s">
        <v>114</v>
      </c>
      <c r="Q12" t="s">
        <v>36</v>
      </c>
    </row>
    <row r="13" spans="1:32" x14ac:dyDescent="0.25">
      <c r="D13" s="49" t="s">
        <v>91</v>
      </c>
      <c r="E13" s="50" t="s">
        <v>17</v>
      </c>
      <c r="G13" s="9" t="s">
        <v>91</v>
      </c>
      <c r="H13" t="s">
        <v>113</v>
      </c>
      <c r="I13" t="s">
        <v>114</v>
      </c>
    </row>
    <row r="14" spans="1:32" x14ac:dyDescent="0.25">
      <c r="D14" s="9" t="s">
        <v>12</v>
      </c>
      <c r="E14" s="50" t="s">
        <v>17</v>
      </c>
      <c r="G14" t="s">
        <v>12</v>
      </c>
      <c r="H14" t="s">
        <v>115</v>
      </c>
      <c r="I14" t="s">
        <v>116</v>
      </c>
    </row>
    <row r="15" spans="1:32" x14ac:dyDescent="0.25">
      <c r="D15" s="9" t="s">
        <v>36</v>
      </c>
      <c r="E15" s="50" t="s">
        <v>179</v>
      </c>
      <c r="G15" t="s">
        <v>36</v>
      </c>
      <c r="H15" t="s">
        <v>115</v>
      </c>
      <c r="I15" t="s">
        <v>116</v>
      </c>
    </row>
    <row r="16" spans="1:32" x14ac:dyDescent="0.25">
      <c r="D16" s="51"/>
      <c r="E16" s="50"/>
    </row>
    <row r="18" spans="4:5" x14ac:dyDescent="0.25">
      <c r="D18" s="9"/>
      <c r="E18" s="9"/>
    </row>
    <row r="19" spans="4:5" x14ac:dyDescent="0.25">
      <c r="D19" s="9"/>
      <c r="E19" s="9"/>
    </row>
    <row r="20" spans="4:5" x14ac:dyDescent="0.25">
      <c r="D20" s="9"/>
      <c r="E20" s="9"/>
    </row>
    <row r="21" spans="4:5" x14ac:dyDescent="0.25">
      <c r="D21" s="9"/>
      <c r="E21" s="9"/>
    </row>
    <row r="22" spans="4:5" x14ac:dyDescent="0.25">
      <c r="D22" s="9"/>
      <c r="E22" s="9"/>
    </row>
    <row r="23" spans="4:5" x14ac:dyDescent="0.25">
      <c r="D23" s="9"/>
      <c r="E23" s="9"/>
    </row>
    <row r="24" spans="4:5" x14ac:dyDescent="0.25">
      <c r="D24" s="9"/>
      <c r="E24" s="9"/>
    </row>
    <row r="25" spans="4:5" x14ac:dyDescent="0.25">
      <c r="D25" s="9"/>
      <c r="E25" s="9"/>
    </row>
    <row r="26" spans="4:5" x14ac:dyDescent="0.25">
      <c r="D26" s="9"/>
      <c r="E26" s="9"/>
    </row>
  </sheetData>
  <sheetProtection selectLockedCells="1" selectUnlockedCells="1"/>
  <sortState ref="G3:H16">
    <sortCondition ref="H3:H16"/>
  </sortState>
  <dataConsolidate/>
  <pageMargins left="0.7" right="0.7" top="0.75" bottom="0.75" header="0.3" footer="0.3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trash_can" Type="http://schemas.openxmlformats.org/officeDocument/2006/relationships/image" Target="images/trash_can.png"/><Relationship Id="delete" Type="http://schemas.openxmlformats.org/officeDocument/2006/relationships/image" Target="images/delete.png"/><Relationship Id="download" Type="http://schemas.openxmlformats.org/officeDocument/2006/relationships/image" Target="images/download.png"/><Relationship Id="download3" Type="http://schemas.openxmlformats.org/officeDocument/2006/relationships/image" Target="images/download3.png"/><Relationship Id="clipboard" Type="http://schemas.openxmlformats.org/officeDocument/2006/relationships/image" Target="images/clipboard.png"/><Relationship Id="history" Type="http://schemas.openxmlformats.org/officeDocument/2006/relationships/image" Target="images/history.png"/><Relationship Id="download2" Type="http://schemas.openxmlformats.org/officeDocument/2006/relationships/image" Target="images/download2.png"/><Relationship Id="checkbox_check" Type="http://schemas.openxmlformats.org/officeDocument/2006/relationships/image" Target="images/checkbox_check.png"/><Relationship Id="view_mode_list" Type="http://schemas.openxmlformats.org/officeDocument/2006/relationships/image" Target="images/view_mode_list.png"/><Relationship Id="system_file" Type="http://schemas.openxmlformats.org/officeDocument/2006/relationships/image" Target="images/system_file.png"/><Relationship Id="A16_download2" Type="http://schemas.openxmlformats.org/officeDocument/2006/relationships/image" Target="images/A16_download2.png"/><Relationship Id="zoom_in" Type="http://schemas.openxmlformats.org/officeDocument/2006/relationships/image" Target="images/zoom_in.png"/><Relationship Id="network" Type="http://schemas.openxmlformats.org/officeDocument/2006/relationships/image" Target="images/network.png"/><Relationship Id="home" Type="http://schemas.openxmlformats.org/officeDocument/2006/relationships/image" Target="images/home.png"/><Relationship Id="copy" Type="http://schemas.openxmlformats.org/officeDocument/2006/relationships/image" Target="images/copy.png"/><Relationship Id="dh-icon-64" Type="http://schemas.openxmlformats.org/officeDocument/2006/relationships/image" Target="images/dh-icon-64.png"/><Relationship Id="calendar_week" Type="http://schemas.openxmlformats.org/officeDocument/2006/relationships/image" Target="images/calendar_week.png"/><Relationship Id="refresh" Type="http://schemas.openxmlformats.org/officeDocument/2006/relationships/image" Target="images/refresh.png"/><Relationship Id="cancel" Type="http://schemas.openxmlformats.org/officeDocument/2006/relationships/image" Target="images/cancel.png"/><Relationship Id="lightning_bolt" Type="http://schemas.openxmlformats.org/officeDocument/2006/relationships/image" Target="images/lightning_bolt.png"/><Relationship Id="checkbox" Type="http://schemas.openxmlformats.org/officeDocument/2006/relationships/image" Target="images/checkbox.png"/><Relationship Id="diskette" Type="http://schemas.openxmlformats.org/officeDocument/2006/relationships/image" Target="images/diskette.png"/><Relationship Id="close" Type="http://schemas.openxmlformats.org/officeDocument/2006/relationships/image" Target="images/close.png"/><Relationship Id="reload" Type="http://schemas.openxmlformats.org/officeDocument/2006/relationships/image" Target="images/reload.png"/></Relationships>
</file>

<file path=customUI/customUI14.xml><?xml version="1.0" encoding="utf-8"?>
<customUI xmlns="http://schemas.microsoft.com/office/2009/07/customui" onLoad="ribbonLoaded">
  <contextMenus>
    <contextMenu idMso="ContextMenuCell">
      <button id="cnt_btn_1_3" label="Копировать данные" image="copy" insertAfterMso="HyperlinkInsert" onAction="OA_CopyData" getEnabled="OA_GetEnabled"/>
      <button id="cnt_btn_1_2" label="Детализировать элемент" image="zoom_in" insertAfterMso="HyperlinkInsert" onAction="OA_GetDetail" getEnabled="OA_GetEnabled"/>
      <button id="cnt_btn_1_1" label="DH Dashboard" image="dh-icon-64" insertAfterMso="HyperlinkInsert" enabled="false"/>
      <menuSeparator id="con_sep_1" insertAfterMso="HyperlinkInsert"/>
    </contextMenu>
    <contextMenu idMso="ContextMenuRow">
      <button id="cnt_btn_2_1" label="DH Dashboard" image="dh-icon-64" insertAfterMso="HyperlinkInsert" enabled="false"/>
      <menuSeparator id="con_sep_2" insertAfterMso="HyperlinkInsert"/>
    </contextMenu>
    <contextMenu idMso="ContextMenuColumn">
      <button id="cnt_btn_3_1" label="DH Dashboard" image="dh-icon-64" insertAfterMso="HyperlinkInsert" enabled="false"/>
      <menuSeparator id="con_sep_3" insertAfterMso="HyperlinkInser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TabV</vt:lpstr>
      <vt:lpstr>TabD</vt:lpstr>
      <vt:lpstr>SysV</vt:lpstr>
      <vt:lpstr>SysA</vt:lpstr>
      <vt:lpstr>Детализация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Замуруев Александр Александрович</dc:creator>
  <cp:lastModifiedBy>ВТБ</cp:lastModifiedBy>
  <dcterms:created xsi:type="dcterms:W3CDTF">2020-01-31T13:24:00Z</dcterms:created>
  <dcterms:modified xsi:type="dcterms:W3CDTF">2022-10-25T19:16:48Z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